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5"/>
  <workbookPr/>
  <mc:AlternateContent xmlns:mc="http://schemas.openxmlformats.org/markup-compatibility/2006">
    <mc:Choice Requires="x15">
      <x15ac:absPath xmlns:x15ac="http://schemas.microsoft.com/office/spreadsheetml/2010/11/ac" url="C:\Users\uu\Downloads\"/>
    </mc:Choice>
  </mc:AlternateContent>
  <xr:revisionPtr revIDLastSave="0" documentId="8_{7DBFCE58-933A-424F-ABB8-EBFD11B87BDF}" xr6:coauthVersionLast="47" xr6:coauthVersionMax="47" xr10:uidLastSave="{00000000-0000-0000-0000-000000000000}"/>
  <bookViews>
    <workbookView xWindow="0" yWindow="0" windowWidth="20490" windowHeight="7620" activeTab="2" xr2:uid="{00000000-000D-0000-FFFF-FFFF00000000}"/>
  </bookViews>
  <sheets>
    <sheet name="Articles" sheetId="1" r:id="rId1"/>
    <sheet name="Ventes" sheetId="2" r:id="rId2"/>
    <sheet name="Résumé Stock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4" i="2" l="1"/>
  <c r="E213" i="2"/>
  <c r="E212" i="2"/>
  <c r="E211" i="2"/>
  <c r="E210" i="2"/>
  <c r="F209" i="2"/>
  <c r="G209" i="2"/>
  <c r="F215" i="2"/>
  <c r="G215" i="2"/>
  <c r="F216" i="2"/>
  <c r="G216" i="2"/>
  <c r="F217" i="2"/>
  <c r="G217" i="2"/>
  <c r="F218" i="2"/>
  <c r="G218" i="2"/>
  <c r="F219" i="2"/>
  <c r="G219" i="2"/>
  <c r="F220" i="2"/>
  <c r="G220" i="2"/>
  <c r="F221" i="2"/>
  <c r="G221" i="2"/>
  <c r="F210" i="2"/>
  <c r="G210" i="2"/>
  <c r="F211" i="2"/>
  <c r="G211" i="2"/>
  <c r="F212" i="2"/>
  <c r="G212" i="2"/>
  <c r="F213" i="2"/>
  <c r="G213" i="2"/>
  <c r="F214" i="2"/>
  <c r="G214" i="2"/>
  <c r="F222" i="2"/>
  <c r="F223" i="2"/>
  <c r="F224" i="2"/>
  <c r="F225" i="2"/>
  <c r="F226" i="2"/>
  <c r="F227" i="2"/>
  <c r="E209" i="2"/>
  <c r="F208" i="2"/>
  <c r="G208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F169" i="2"/>
  <c r="F170" i="2"/>
  <c r="F171" i="2"/>
  <c r="F172" i="2"/>
  <c r="F173" i="2"/>
  <c r="F174" i="2"/>
  <c r="F175" i="2"/>
  <c r="F176" i="2"/>
  <c r="F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203" i="2"/>
  <c r="G203" i="2"/>
  <c r="F204" i="2"/>
  <c r="G204" i="2"/>
  <c r="F205" i="2"/>
  <c r="G205" i="2"/>
  <c r="F206" i="2"/>
  <c r="G206" i="2"/>
  <c r="F207" i="2"/>
  <c r="G207" i="2"/>
  <c r="E169" i="2"/>
  <c r="E168" i="2"/>
  <c r="E167" i="2"/>
  <c r="E166" i="2"/>
  <c r="E165" i="2"/>
  <c r="E164" i="2"/>
  <c r="E163" i="2"/>
  <c r="E162" i="2"/>
  <c r="E161" i="2"/>
  <c r="E160" i="2"/>
  <c r="E159" i="2"/>
  <c r="G193" i="3"/>
  <c r="G196" i="3"/>
  <c r="F52" i="2"/>
  <c r="G52" i="2"/>
  <c r="G200" i="3"/>
  <c r="G201" i="3"/>
  <c r="F2" i="2"/>
  <c r="G2" i="2"/>
  <c r="F21" i="2"/>
  <c r="G21" i="2"/>
  <c r="F69" i="2"/>
  <c r="G69" i="2"/>
  <c r="F87" i="2"/>
  <c r="G87" i="2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G169" i="2"/>
  <c r="G170" i="2"/>
  <c r="G171" i="2"/>
  <c r="G172" i="2"/>
  <c r="G173" i="2"/>
  <c r="G174" i="2"/>
  <c r="G175" i="2"/>
  <c r="G176" i="2"/>
  <c r="G177" i="2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E158" i="2"/>
  <c r="F152" i="3"/>
  <c r="F153" i="3"/>
  <c r="F154" i="3"/>
  <c r="F155" i="3"/>
  <c r="F156" i="3"/>
  <c r="F157" i="3"/>
  <c r="F158" i="3"/>
  <c r="D152" i="3"/>
  <c r="D153" i="3"/>
  <c r="D154" i="3"/>
  <c r="D155" i="3"/>
  <c r="D156" i="3"/>
  <c r="D157" i="3"/>
  <c r="D158" i="3"/>
  <c r="E157" i="2"/>
  <c r="E156" i="2"/>
  <c r="E155" i="2"/>
  <c r="E154" i="2"/>
  <c r="G184" i="3"/>
  <c r="E158" i="3"/>
  <c r="E156" i="3"/>
  <c r="E157" i="3"/>
  <c r="E155" i="3"/>
  <c r="E216" i="3"/>
  <c r="E214" i="3"/>
  <c r="E212" i="3"/>
  <c r="E210" i="3"/>
  <c r="E208" i="3"/>
  <c r="E206" i="3"/>
  <c r="E204" i="3"/>
  <c r="E202" i="3"/>
  <c r="E200" i="3"/>
  <c r="E198" i="3"/>
  <c r="E196" i="3"/>
  <c r="E194" i="3"/>
  <c r="E192" i="3"/>
  <c r="E190" i="3"/>
  <c r="E188" i="3"/>
  <c r="E186" i="3"/>
  <c r="E184" i="3"/>
  <c r="E182" i="3"/>
  <c r="E180" i="3"/>
  <c r="E178" i="3"/>
  <c r="E176" i="3"/>
  <c r="E174" i="3"/>
  <c r="E172" i="3"/>
  <c r="E170" i="3"/>
  <c r="E168" i="3"/>
  <c r="E166" i="3"/>
  <c r="E164" i="3"/>
  <c r="E162" i="3"/>
  <c r="E215" i="3"/>
  <c r="E213" i="3"/>
  <c r="E211" i="3"/>
  <c r="E209" i="3"/>
  <c r="E207" i="3"/>
  <c r="E205" i="3"/>
  <c r="E203" i="3"/>
  <c r="E201" i="3"/>
  <c r="E199" i="3"/>
  <c r="E197" i="3"/>
  <c r="E195" i="3"/>
  <c r="E193" i="3"/>
  <c r="E191" i="3"/>
  <c r="E189" i="3"/>
  <c r="E187" i="3"/>
  <c r="E185" i="3"/>
  <c r="E183" i="3"/>
  <c r="E181" i="3"/>
  <c r="E179" i="3"/>
  <c r="E177" i="3"/>
  <c r="E175" i="3"/>
  <c r="E173" i="3"/>
  <c r="E171" i="3"/>
  <c r="E169" i="3"/>
  <c r="E167" i="3"/>
  <c r="E165" i="3"/>
  <c r="E163" i="3"/>
  <c r="E161" i="3"/>
  <c r="E160" i="3"/>
  <c r="E159" i="3"/>
  <c r="E153" i="2"/>
  <c r="E152" i="2"/>
  <c r="E151" i="2"/>
  <c r="E150" i="2"/>
  <c r="E149" i="2"/>
  <c r="E148" i="2"/>
  <c r="E147" i="2"/>
  <c r="E146" i="2"/>
  <c r="E145" i="2"/>
  <c r="E144" i="2"/>
  <c r="E143" i="2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E142" i="2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E152" i="3"/>
  <c r="C153" i="3"/>
  <c r="E153" i="3"/>
  <c r="C154" i="3"/>
  <c r="E154" i="3"/>
  <c r="E141" i="2"/>
  <c r="E140" i="2"/>
  <c r="E139" i="2"/>
  <c r="G174" i="3"/>
  <c r="G139" i="3"/>
  <c r="G140" i="3"/>
  <c r="G146" i="3"/>
  <c r="G149" i="3"/>
  <c r="G150" i="3"/>
  <c r="G151" i="3"/>
  <c r="G152" i="3"/>
  <c r="G155" i="3"/>
  <c r="G159" i="3"/>
  <c r="G160" i="3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G144" i="3"/>
  <c r="G186" i="3"/>
  <c r="G162" i="3"/>
  <c r="G192" i="3"/>
  <c r="G153" i="3"/>
  <c r="E150" i="3"/>
  <c r="E146" i="3"/>
  <c r="E144" i="3"/>
  <c r="E142" i="3"/>
  <c r="E140" i="3"/>
  <c r="E151" i="3"/>
  <c r="E147" i="3"/>
  <c r="E145" i="3"/>
  <c r="E143" i="3"/>
  <c r="E141" i="3"/>
  <c r="E139" i="3"/>
  <c r="E149" i="3"/>
  <c r="E148" i="3"/>
  <c r="E106" i="2"/>
  <c r="E105" i="2"/>
  <c r="E104" i="2"/>
  <c r="E103" i="2"/>
  <c r="E102" i="2"/>
  <c r="E101" i="2"/>
  <c r="E100" i="2"/>
  <c r="G105" i="3"/>
  <c r="G122" i="3"/>
  <c r="G126" i="3"/>
  <c r="G127" i="3"/>
  <c r="G132" i="3"/>
  <c r="E99" i="2"/>
  <c r="E98" i="2"/>
  <c r="E97" i="2"/>
  <c r="E93" i="2"/>
  <c r="E94" i="2"/>
  <c r="E95" i="2"/>
  <c r="E96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G134" i="3"/>
  <c r="G136" i="3"/>
  <c r="G137" i="3"/>
  <c r="G138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24" i="3"/>
  <c r="C25" i="3"/>
  <c r="C26" i="3"/>
  <c r="C27" i="3"/>
  <c r="C28" i="3"/>
  <c r="C29" i="3"/>
  <c r="C30" i="3"/>
  <c r="C31" i="3"/>
  <c r="C32" i="3"/>
  <c r="C33" i="3"/>
  <c r="C34" i="3"/>
  <c r="C35" i="3"/>
  <c r="E26" i="2"/>
  <c r="E25" i="2"/>
  <c r="E24" i="2"/>
  <c r="E23" i="2"/>
  <c r="E22" i="2"/>
  <c r="G25" i="3"/>
  <c r="G28" i="3"/>
  <c r="G29" i="3"/>
  <c r="G35" i="3"/>
  <c r="G37" i="3"/>
  <c r="G199" i="3"/>
  <c r="G191" i="3"/>
  <c r="G52" i="3"/>
  <c r="G55" i="3"/>
  <c r="G65" i="3"/>
  <c r="G76" i="3"/>
  <c r="G80" i="3"/>
  <c r="G81" i="3"/>
  <c r="G82" i="3"/>
  <c r="G87" i="3"/>
  <c r="G198" i="3"/>
  <c r="E21" i="2"/>
  <c r="E20" i="2"/>
  <c r="E19" i="2"/>
  <c r="G119" i="3"/>
  <c r="G189" i="3"/>
  <c r="G43" i="3"/>
  <c r="G194" i="3"/>
  <c r="G187" i="3"/>
  <c r="G164" i="3"/>
  <c r="G177" i="3"/>
  <c r="G172" i="3"/>
  <c r="G38" i="3"/>
  <c r="G178" i="3"/>
  <c r="G30" i="3"/>
  <c r="G167" i="3"/>
  <c r="G145" i="3"/>
  <c r="G175" i="3"/>
  <c r="G163" i="3"/>
  <c r="G168" i="3"/>
  <c r="G33" i="3"/>
  <c r="G182" i="3"/>
  <c r="G116" i="3"/>
  <c r="G179" i="3"/>
  <c r="G169" i="3"/>
  <c r="G156" i="3"/>
  <c r="G90" i="3"/>
  <c r="G158" i="3"/>
  <c r="G161" i="3"/>
  <c r="G34" i="3"/>
  <c r="G157" i="3"/>
  <c r="G47" i="3"/>
  <c r="G142" i="3"/>
  <c r="G102" i="3"/>
  <c r="G118" i="3"/>
  <c r="G108" i="3"/>
  <c r="G92" i="3"/>
  <c r="G46" i="3"/>
  <c r="G130" i="3"/>
  <c r="G133" i="3"/>
  <c r="G115" i="3"/>
  <c r="G49" i="3"/>
  <c r="G69" i="3"/>
  <c r="G86" i="3"/>
  <c r="G99" i="3"/>
  <c r="G117" i="3"/>
  <c r="G74" i="3"/>
  <c r="G83" i="3"/>
  <c r="G121" i="3"/>
  <c r="G89" i="3"/>
  <c r="G100" i="3"/>
  <c r="G64" i="3"/>
  <c r="G70" i="3"/>
  <c r="G61" i="3"/>
  <c r="G27" i="3"/>
  <c r="G42" i="3"/>
  <c r="G58" i="3"/>
  <c r="G63" i="3"/>
  <c r="G60" i="3"/>
  <c r="G50" i="3"/>
  <c r="G39" i="3"/>
  <c r="G40" i="3"/>
  <c r="E138" i="3"/>
  <c r="E136" i="3"/>
  <c r="E134" i="3"/>
  <c r="E132" i="3"/>
  <c r="E130" i="3"/>
  <c r="E128" i="3"/>
  <c r="E126" i="3"/>
  <c r="E124" i="3"/>
  <c r="E122" i="3"/>
  <c r="E120" i="3"/>
  <c r="E118" i="3"/>
  <c r="E116" i="3"/>
  <c r="E114" i="3"/>
  <c r="E112" i="3"/>
  <c r="E110" i="3"/>
  <c r="E108" i="3"/>
  <c r="E106" i="3"/>
  <c r="E104" i="3"/>
  <c r="E102" i="3"/>
  <c r="E100" i="3"/>
  <c r="E98" i="3"/>
  <c r="E96" i="3"/>
  <c r="E94" i="3"/>
  <c r="E92" i="3"/>
  <c r="E90" i="3"/>
  <c r="E88" i="3"/>
  <c r="E86" i="3"/>
  <c r="E84" i="3"/>
  <c r="E82" i="3"/>
  <c r="E80" i="3"/>
  <c r="E78" i="3"/>
  <c r="E76" i="3"/>
  <c r="E74" i="3"/>
  <c r="E72" i="3"/>
  <c r="E70" i="3"/>
  <c r="E68" i="3"/>
  <c r="E66" i="3"/>
  <c r="E64" i="3"/>
  <c r="E62" i="3"/>
  <c r="E60" i="3"/>
  <c r="E58" i="3"/>
  <c r="E56" i="3"/>
  <c r="E54" i="3"/>
  <c r="E52" i="3"/>
  <c r="E50" i="3"/>
  <c r="E137" i="3"/>
  <c r="E135" i="3"/>
  <c r="E133" i="3"/>
  <c r="E131" i="3"/>
  <c r="E129" i="3"/>
  <c r="E127" i="3"/>
  <c r="E125" i="3"/>
  <c r="E123" i="3"/>
  <c r="E121" i="3"/>
  <c r="E119" i="3"/>
  <c r="E117" i="3"/>
  <c r="E115" i="3"/>
  <c r="E113" i="3"/>
  <c r="E111" i="3"/>
  <c r="E109" i="3"/>
  <c r="E107" i="3"/>
  <c r="E105" i="3"/>
  <c r="E103" i="3"/>
  <c r="E101" i="3"/>
  <c r="E99" i="3"/>
  <c r="E97" i="3"/>
  <c r="E95" i="3"/>
  <c r="E93" i="3"/>
  <c r="E91" i="3"/>
  <c r="E89" i="3"/>
  <c r="E87" i="3"/>
  <c r="E85" i="3"/>
  <c r="E83" i="3"/>
  <c r="E81" i="3"/>
  <c r="E79" i="3"/>
  <c r="E77" i="3"/>
  <c r="E75" i="3"/>
  <c r="E73" i="3"/>
  <c r="E71" i="3"/>
  <c r="E69" i="3"/>
  <c r="E67" i="3"/>
  <c r="E65" i="3"/>
  <c r="E63" i="3"/>
  <c r="E61" i="3"/>
  <c r="E59" i="3"/>
  <c r="E57" i="3"/>
  <c r="E55" i="3"/>
  <c r="E53" i="3"/>
  <c r="E51" i="3"/>
  <c r="E49" i="3"/>
  <c r="E47" i="3"/>
  <c r="E45" i="3"/>
  <c r="E43" i="3"/>
  <c r="E41" i="3"/>
  <c r="E39" i="3"/>
  <c r="E37" i="3"/>
  <c r="E35" i="3"/>
  <c r="E33" i="3"/>
  <c r="E31" i="3"/>
  <c r="E29" i="3"/>
  <c r="E27" i="3"/>
  <c r="E48" i="3"/>
  <c r="E46" i="3"/>
  <c r="E44" i="3"/>
  <c r="E42" i="3"/>
  <c r="E40" i="3"/>
  <c r="E38" i="3"/>
  <c r="E36" i="3"/>
  <c r="E34" i="3"/>
  <c r="E32" i="3"/>
  <c r="E30" i="3"/>
  <c r="E28" i="3"/>
  <c r="E26" i="3"/>
  <c r="E25" i="3"/>
  <c r="E18" i="2"/>
  <c r="E17" i="2"/>
  <c r="E16" i="2"/>
  <c r="G21" i="3"/>
  <c r="G23" i="3"/>
  <c r="G24" i="3"/>
  <c r="F12" i="3"/>
  <c r="F13" i="3"/>
  <c r="F14" i="3"/>
  <c r="F15" i="3"/>
  <c r="F16" i="3"/>
  <c r="F17" i="3"/>
  <c r="F18" i="3"/>
  <c r="F19" i="3"/>
  <c r="F20" i="3"/>
  <c r="F21" i="3"/>
  <c r="F22" i="3"/>
  <c r="F23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E24" i="3"/>
  <c r="C12" i="3"/>
  <c r="C13" i="3"/>
  <c r="C14" i="3"/>
  <c r="C15" i="3"/>
  <c r="C16" i="3"/>
  <c r="C17" i="3"/>
  <c r="C18" i="3"/>
  <c r="C19" i="3"/>
  <c r="C20" i="3"/>
  <c r="C21" i="3"/>
  <c r="C22" i="3"/>
  <c r="C23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G48" i="3"/>
  <c r="G78" i="3"/>
  <c r="G183" i="3"/>
  <c r="G147" i="3"/>
  <c r="F5" i="3"/>
  <c r="F6" i="3"/>
  <c r="F7" i="3"/>
  <c r="F8" i="3"/>
  <c r="F9" i="3"/>
  <c r="F10" i="3"/>
  <c r="F11" i="3"/>
  <c r="D5" i="3"/>
  <c r="D6" i="3"/>
  <c r="D7" i="3"/>
  <c r="D8" i="3"/>
  <c r="D9" i="3"/>
  <c r="D10" i="3"/>
  <c r="D11" i="3"/>
  <c r="C5" i="3"/>
  <c r="C6" i="3"/>
  <c r="C7" i="3"/>
  <c r="C8" i="3"/>
  <c r="C9" i="3"/>
  <c r="C10" i="3"/>
  <c r="C11" i="3"/>
  <c r="B5" i="3"/>
  <c r="B6" i="3"/>
  <c r="B7" i="3"/>
  <c r="B8" i="3"/>
  <c r="B9" i="3"/>
  <c r="B10" i="3"/>
  <c r="B11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  <c r="B3" i="3"/>
  <c r="G197" i="3"/>
  <c r="G195" i="3"/>
  <c r="G188" i="3"/>
  <c r="G185" i="3"/>
  <c r="G190" i="3"/>
  <c r="G51" i="3"/>
  <c r="G166" i="3"/>
  <c r="G180" i="3"/>
  <c r="G165" i="3"/>
  <c r="G173" i="3"/>
  <c r="G170" i="3"/>
  <c r="G154" i="3"/>
  <c r="G59" i="3"/>
  <c r="G143" i="3"/>
  <c r="G148" i="3"/>
  <c r="G141" i="3"/>
  <c r="G10" i="3"/>
  <c r="G135" i="3"/>
  <c r="G128" i="3"/>
  <c r="G120" i="3"/>
  <c r="G124" i="3"/>
  <c r="G7" i="3"/>
  <c r="G131" i="3"/>
  <c r="G109" i="3"/>
  <c r="G129" i="3"/>
  <c r="G125" i="3"/>
  <c r="G53" i="3"/>
  <c r="G113" i="3"/>
  <c r="G15" i="3"/>
  <c r="G77" i="3"/>
  <c r="G66" i="3"/>
  <c r="G68" i="3"/>
  <c r="G91" i="3"/>
  <c r="G79" i="3"/>
  <c r="G84" i="3"/>
  <c r="G104" i="3"/>
  <c r="G94" i="3"/>
  <c r="G96" i="3"/>
  <c r="G72" i="3"/>
  <c r="G41" i="3"/>
  <c r="G101" i="3"/>
  <c r="G18" i="3"/>
  <c r="G107" i="3"/>
  <c r="G16" i="3"/>
  <c r="G103" i="3"/>
  <c r="G54" i="3"/>
  <c r="G88" i="3"/>
  <c r="G106" i="3"/>
  <c r="G73" i="3"/>
  <c r="G62" i="3"/>
  <c r="G71" i="3"/>
  <c r="G97" i="3"/>
  <c r="G110" i="3"/>
  <c r="G111" i="3"/>
  <c r="G75" i="3"/>
  <c r="G112" i="3"/>
  <c r="G11" i="3"/>
  <c r="G56" i="3"/>
  <c r="G6" i="3"/>
  <c r="G57" i="3"/>
  <c r="G8" i="3"/>
  <c r="G45" i="3"/>
  <c r="G9" i="3"/>
  <c r="G36" i="3"/>
  <c r="G44" i="3"/>
  <c r="G20" i="3"/>
  <c r="G32" i="3"/>
  <c r="G5" i="3"/>
  <c r="G31" i="3"/>
  <c r="G14" i="3"/>
  <c r="G17" i="3"/>
  <c r="G12" i="3"/>
  <c r="G26" i="3"/>
  <c r="G22" i="3"/>
  <c r="G13" i="3"/>
  <c r="E23" i="3"/>
  <c r="E21" i="3"/>
  <c r="E19" i="3"/>
  <c r="E17" i="3"/>
  <c r="E15" i="3"/>
  <c r="E13" i="3"/>
  <c r="E11" i="3"/>
  <c r="E9" i="3"/>
  <c r="E5" i="3"/>
  <c r="E22" i="3"/>
  <c r="E20" i="3"/>
  <c r="E18" i="3"/>
  <c r="E16" i="3"/>
  <c r="E14" i="3"/>
  <c r="E12" i="3"/>
  <c r="E7" i="3"/>
  <c r="E10" i="3"/>
  <c r="E8" i="3"/>
  <c r="E6" i="3"/>
  <c r="G4" i="3"/>
  <c r="F4" i="3"/>
  <c r="D4" i="3"/>
  <c r="C4" i="3"/>
  <c r="B4" i="3"/>
  <c r="G3" i="3"/>
  <c r="F3" i="3"/>
  <c r="D3" i="3"/>
  <c r="C3" i="3"/>
  <c r="F2" i="3"/>
  <c r="D2" i="3"/>
  <c r="C2" i="3"/>
  <c r="B2" i="3"/>
  <c r="G123" i="3"/>
  <c r="G176" i="3"/>
  <c r="G181" i="3"/>
  <c r="G171" i="3"/>
  <c r="G114" i="3"/>
  <c r="G95" i="3"/>
  <c r="G67" i="3"/>
  <c r="G85" i="3"/>
  <c r="G98" i="3"/>
  <c r="G93" i="3"/>
  <c r="G2" i="3"/>
  <c r="G19" i="3"/>
  <c r="E4" i="3"/>
  <c r="E2" i="3"/>
  <c r="E3" i="3"/>
</calcChain>
</file>

<file path=xl/sharedStrings.xml><?xml version="1.0" encoding="utf-8"?>
<sst xmlns="http://schemas.openxmlformats.org/spreadsheetml/2006/main" count="775" uniqueCount="350">
  <si>
    <t>Réf</t>
  </si>
  <si>
    <t>Désignation</t>
  </si>
  <si>
    <t>Prix d'achat</t>
  </si>
  <si>
    <t>Stock initial</t>
  </si>
  <si>
    <t>LYK001</t>
  </si>
  <si>
    <t>LYK002</t>
  </si>
  <si>
    <t>LYK003</t>
  </si>
  <si>
    <t>Date</t>
  </si>
  <si>
    <t>Quantité</t>
  </si>
  <si>
    <t>Prix unité (réel)</t>
  </si>
  <si>
    <t>Marge unitaire</t>
  </si>
  <si>
    <t>Marge totale</t>
  </si>
  <si>
    <t>Quantité vendue</t>
  </si>
  <si>
    <t>Stock actuel</t>
  </si>
  <si>
    <t>Total Ventes</t>
  </si>
  <si>
    <t>Total Marge</t>
  </si>
  <si>
    <t>BABY BELLO ENS VIOLET 02P</t>
  </si>
  <si>
    <t>BABY BELLO GREN CHAPEAU/MOUFLE</t>
  </si>
  <si>
    <t>BABY F CHAPEAUX 01 PONPON</t>
  </si>
  <si>
    <t>BABY F CHAPEAUX 02 PONPONS</t>
  </si>
  <si>
    <t>BABYBUU ROBE</t>
  </si>
  <si>
    <t>BABYGO ENS 02P MARRON GARCON</t>
  </si>
  <si>
    <t>BABYGO ENS 02PROSE FILLE</t>
  </si>
  <si>
    <t>BABYGO ENS JOGGING VERT 02P</t>
  </si>
  <si>
    <t>BABYHI ENS JAUNE 03P</t>
  </si>
  <si>
    <t>BB CHERI BABY F ENS 02P</t>
  </si>
  <si>
    <t>BB CHERI BABY F ENS02P ROSE</t>
  </si>
  <si>
    <t>BB CHERI BABY F GREN</t>
  </si>
  <si>
    <t xml:space="preserve">BB CHERI CANARIO 02P </t>
  </si>
  <si>
    <t>BB CHERI CANARIO COM?BI</t>
  </si>
  <si>
    <t>BEBEDEXS 0904 ENS LIN PANTALON</t>
  </si>
  <si>
    <t>BEBELOVE GREN</t>
  </si>
  <si>
    <t>BELLA BANDEAUX</t>
  </si>
  <si>
    <t>BELLA BARETTES</t>
  </si>
  <si>
    <t>BELLA CHAPEAUX BANDEAUX</t>
  </si>
  <si>
    <t>BELLA CHAUSSETTE BALLERINE</t>
  </si>
  <si>
    <t>BELLA CHAUSSETTE COLLANT NŒUD</t>
  </si>
  <si>
    <t xml:space="preserve">BULSEN ROBE ROSE/BLANCHE </t>
  </si>
  <si>
    <t>CARNAVAL ENS 02P JAUNE MOURTADE FILLE</t>
  </si>
  <si>
    <t xml:space="preserve">CHAPEAU SIMPLE </t>
  </si>
  <si>
    <t>CHAPEAU SIMPLE NOURNOURS</t>
  </si>
  <si>
    <t>CHAUSETTE BEBELINA</t>
  </si>
  <si>
    <t>CHAUSSETTE 3</t>
  </si>
  <si>
    <t>CHAUSSETTE BOX 5</t>
  </si>
  <si>
    <t>COSAY ENS 02P BABY 2025</t>
  </si>
  <si>
    <t>COSAY ENS 02P VIOLET FILLE</t>
  </si>
  <si>
    <t>COSAY ENS 03P GROS CŒUR</t>
  </si>
  <si>
    <t>COSAY ENS 03P PETIT CŒUR</t>
  </si>
  <si>
    <t>COSAY ENS FILLE CŒUR PANTALON 02P</t>
  </si>
  <si>
    <t>COSAY ENS NAISS CŒUR</t>
  </si>
  <si>
    <t>COSAY ENS NAISS GARCON</t>
  </si>
  <si>
    <t>COSAY ENS TOY 03P</t>
  </si>
  <si>
    <t xml:space="preserve">DAMLA 24767 ENS LIN BLANC CULOTTE BLEU NUIT </t>
  </si>
  <si>
    <t>DAMLA ENS 02P ROSE PANTALON</t>
  </si>
  <si>
    <t>DAMLA ENS 02P TROPICAL GARCON</t>
  </si>
  <si>
    <t>DAMLA ENS 02P VERT CULOTTE FILLE</t>
  </si>
  <si>
    <t>DAMLA ENS HAUT VERT LIN CULOTTE 02P</t>
  </si>
  <si>
    <t>DAMLA ENS PLAGE GARCON 02P</t>
  </si>
  <si>
    <t>ELCI ENS 02P (VIOL.MARRON.GRIS)</t>
  </si>
  <si>
    <t>ELCI ENS VERT/JAUNE NAISSANCE 03P</t>
  </si>
  <si>
    <t>ENS FILLE PANTHER 03P</t>
  </si>
  <si>
    <t>ENS ORANGE JOGGING</t>
  </si>
  <si>
    <t>FATITTO 015 ENS BLEU BLANC 02P</t>
  </si>
  <si>
    <t>FATITTO ENS VERT 02P</t>
  </si>
  <si>
    <t>FINDIK BARBO CM</t>
  </si>
  <si>
    <t>FINDIK BARBO LM</t>
  </si>
  <si>
    <t>HOLA KIDS ENS JAUNE JEAN NOIR</t>
  </si>
  <si>
    <t>HOLA KIDS ENS JEAN LIN BLANC GT</t>
  </si>
  <si>
    <t xml:space="preserve">HOLA KIDS ENS JEAN POLO </t>
  </si>
  <si>
    <t>IGGY ENS 02P MARRON AFFRITUDE</t>
  </si>
  <si>
    <t>IGGY ENS CULOTTE BLEU NUIT/HAUT JAUNE 02P</t>
  </si>
  <si>
    <t>IGGY ENS JEAN HAUT VIOLET 02P</t>
  </si>
  <si>
    <t>KAYRA CHAPEAUX BANDEAU</t>
  </si>
  <si>
    <t>KIDEX ROBE CHAPEAU PAILLE</t>
  </si>
  <si>
    <t>KIDEXS ENS MARRON DISNEY 03P</t>
  </si>
  <si>
    <t>KITY SALOPETTE</t>
  </si>
  <si>
    <t>MAIBELLA 3013 ENS MARRON FONCE 03P</t>
  </si>
  <si>
    <t>MAIBELLA 4592 ENS 03P JEAN BLEU</t>
  </si>
  <si>
    <t>MAIBELLA 4600 ENS 03P MARRON M</t>
  </si>
  <si>
    <t>MAIBELLA 4625 ENS 03P JAUNE/BLANC</t>
  </si>
  <si>
    <t>MAIBELLA CULOTTE JEAN TSHIRT</t>
  </si>
  <si>
    <t>MAIBELLA ENS JEAN 02P</t>
  </si>
  <si>
    <t>MAIBELLA ENS PULL FILLE LOVE 02P</t>
  </si>
  <si>
    <t>MC BARBO 02P</t>
  </si>
  <si>
    <t>MC BARBO CM</t>
  </si>
  <si>
    <t>MC BARBO DM</t>
  </si>
  <si>
    <t>MC BARBO LM</t>
  </si>
  <si>
    <t>MC BARBO ROBE</t>
  </si>
  <si>
    <t>MC BAVOIRS PACK 3/CHAUSSETTES</t>
  </si>
  <si>
    <t>MC BAVOIRS PACK 5</t>
  </si>
  <si>
    <t>MC BAVOIRS SIMPLES</t>
  </si>
  <si>
    <t>MC CHAPEAUX 500</t>
  </si>
  <si>
    <t>MC CHAPEAUX PACK 3</t>
  </si>
  <si>
    <t>MC CHAUSSURE</t>
  </si>
  <si>
    <t>MC COLLANT</t>
  </si>
  <si>
    <t>MC ENS CULOTTE GARCON 02P</t>
  </si>
  <si>
    <t>MC MINIE GREN</t>
  </si>
  <si>
    <t xml:space="preserve">MC PANTALON </t>
  </si>
  <si>
    <t>MC PANTALON CINTRE</t>
  </si>
  <si>
    <t>MINEPETY GREN</t>
  </si>
  <si>
    <t xml:space="preserve">MINI EMLEX ROBE ROSE </t>
  </si>
  <si>
    <t>MINI EMLEX ROBE VERTE</t>
  </si>
  <si>
    <t>MINI TROUSSEAU</t>
  </si>
  <si>
    <t>MINILOVE ENS 02P NAISS BLANC</t>
  </si>
  <si>
    <t>MINILOVE ENS NAISS GRIS 02P</t>
  </si>
  <si>
    <t>MINILOVE GREN SIMPLE</t>
  </si>
  <si>
    <t>MINILOVE PANTALON</t>
  </si>
  <si>
    <t>MINITIX ENS 03P MARRON</t>
  </si>
  <si>
    <t>MINITIX ENS GILET MARRON</t>
  </si>
  <si>
    <t>MINIZEO ENS FILLE LAPIN 03P</t>
  </si>
  <si>
    <t>MINIZEO ENS VERT FILLE 03P</t>
  </si>
  <si>
    <t>MINIZEO ROBE SALOPETTE</t>
  </si>
  <si>
    <t>MISKET ENS CULOTTE FILLE</t>
  </si>
  <si>
    <t>MURAT 7497 GREN JAUNE MICKEY</t>
  </si>
  <si>
    <t>MURAT 8927 ENS MICKEY ROSE 02P</t>
  </si>
  <si>
    <t>MURAT 9172 GREN BLANCHE ILOVE</t>
  </si>
  <si>
    <t>MURAT BABY SALOPETTE GRISE</t>
  </si>
  <si>
    <t>MURAT BARBO CALECON PANTHERE</t>
  </si>
  <si>
    <t>MURAT BARBO JUPE SALOPETTE CŒUR</t>
  </si>
  <si>
    <t>MURAT BARBO LM</t>
  </si>
  <si>
    <t>MURAT COMBI CŒUR</t>
  </si>
  <si>
    <t>MURAT ENS 02P GARCON PAN  HAUT ORANGE</t>
  </si>
  <si>
    <t>MURAT ENS 02P HAUT VERT GARCON</t>
  </si>
  <si>
    <t>MURAT ENS 02P MARRON NOURNOURS</t>
  </si>
  <si>
    <t>MURAT ENS 02P NAISS CŒUR</t>
  </si>
  <si>
    <t>MURAT ENS JOGGING BLEU 03P</t>
  </si>
  <si>
    <t>MURAT ENS MARRON WINNIE 02P</t>
  </si>
  <si>
    <t>MURAT GREN I LOV MUM/DAD</t>
  </si>
  <si>
    <t xml:space="preserve">MURAT GREN ROSE CLAIR </t>
  </si>
  <si>
    <t>MURAT MINI COMBI CŒUR</t>
  </si>
  <si>
    <t>MURAT MINI COMBI CŒUR FROUFROU</t>
  </si>
  <si>
    <t xml:space="preserve">MURAT MINI COMBI GARCON </t>
  </si>
  <si>
    <t>MURAT ROBE CHAPEAU PAILLE</t>
  </si>
  <si>
    <t xml:space="preserve">MURAT ROBE CŒUR </t>
  </si>
  <si>
    <t>MURAT ROBE JEAN DENTELLE HAUT</t>
  </si>
  <si>
    <t>MURAT ROBE JEAN DENTELLE HB</t>
  </si>
  <si>
    <t>MURAT ROBE JEAN-TISSU</t>
  </si>
  <si>
    <t>MURAT SALOPETTE FILLE ORANGE</t>
  </si>
  <si>
    <t>NAFITO MINI GREN</t>
  </si>
  <si>
    <t>NANON 6612 ENS MARRON CHEMISE CULOTTE 02P</t>
  </si>
  <si>
    <t>NANON 6615 ENS CHEMISE CULOTTE LIN 02P</t>
  </si>
  <si>
    <t>NANON 6628 ENS CHEMISE CULOTTE VERT</t>
  </si>
  <si>
    <t>NANON ENS FILLE CULOTTE FLEURI</t>
  </si>
  <si>
    <t>NANON ENS FILLE CULOTTE ORANGE</t>
  </si>
  <si>
    <t>NANON MINI GREN FILLE</t>
  </si>
  <si>
    <t>NANON7732 MINIE SALOPETTE</t>
  </si>
  <si>
    <t>NAY 1203 ENS JAUNE ROAR 03P</t>
  </si>
  <si>
    <t>NAY BARBO GT DM</t>
  </si>
  <si>
    <t>NAY BARBO GT LM</t>
  </si>
  <si>
    <t>NAY BARBO LM</t>
  </si>
  <si>
    <t xml:space="preserve">NAY ENS 02P </t>
  </si>
  <si>
    <t>NAY ENS BLANC FILLE 03P</t>
  </si>
  <si>
    <t>NAY GREN SIMPLES</t>
  </si>
  <si>
    <t>NAY PANTALON</t>
  </si>
  <si>
    <t>NEHAD ENS 02P CULOTTE CARRELE</t>
  </si>
  <si>
    <t>NONNA BABY ENS GRIS/JAUNE 02P</t>
  </si>
  <si>
    <t>NONNA BABY ENS VERT FONCE JAUNE 03P</t>
  </si>
  <si>
    <t>NONO ROBE BLANCHE ROUGE</t>
  </si>
  <si>
    <t>NONO ROBE FLEURIE</t>
  </si>
  <si>
    <t>PAKEL 2006 ENS GARCON JAUNE/GRIS</t>
  </si>
  <si>
    <t>PATPATBABY ROBE BLEUE</t>
  </si>
  <si>
    <t>PODUIMINI 484 ENS MARRON FLEURI 02P</t>
  </si>
  <si>
    <t>PONPON ROBE</t>
  </si>
  <si>
    <t>SD BABY ROBE BLANCHE</t>
  </si>
  <si>
    <t>SHEIN ENS FILLE CULOTTE JEAN</t>
  </si>
  <si>
    <t>TIMO ROBE FLEURI ROSE</t>
  </si>
  <si>
    <t>TRIO ENS 02P CULOTTE 2-6</t>
  </si>
  <si>
    <t>TRIO ENS 02P PANTALON 2-6</t>
  </si>
  <si>
    <t>TURQUIE CHAPEAUX</t>
  </si>
  <si>
    <t>ZEOKIDS ENS BLEU CLAIR/PULL BLANC 02P</t>
  </si>
  <si>
    <t>ZEOKIDS ENS GRIS FLEURI 02P</t>
  </si>
  <si>
    <t>ZEOKIDS ENS MARRON GATHER</t>
  </si>
  <si>
    <t>ZEOKIDS ENS NOEL 02P</t>
  </si>
  <si>
    <t>LYK004</t>
  </si>
  <si>
    <t>LYK005</t>
  </si>
  <si>
    <t>LYK006</t>
  </si>
  <si>
    <t>LYK007</t>
  </si>
  <si>
    <t>LYK008</t>
  </si>
  <si>
    <t>LYK009</t>
  </si>
  <si>
    <t>LYK010</t>
  </si>
  <si>
    <t>LYK011</t>
  </si>
  <si>
    <t>LYK012</t>
  </si>
  <si>
    <t>LYK013</t>
  </si>
  <si>
    <t>LYK014</t>
  </si>
  <si>
    <t>LYK015</t>
  </si>
  <si>
    <t>LYK016</t>
  </si>
  <si>
    <t>LYK017</t>
  </si>
  <si>
    <t>LYK018</t>
  </si>
  <si>
    <t>LYK019</t>
  </si>
  <si>
    <t>LYK020</t>
  </si>
  <si>
    <t>LYK021</t>
  </si>
  <si>
    <t>LYK022</t>
  </si>
  <si>
    <t>LYK023</t>
  </si>
  <si>
    <t>LYK024</t>
  </si>
  <si>
    <t>LYK025</t>
  </si>
  <si>
    <t>LYK026</t>
  </si>
  <si>
    <t>LYK027</t>
  </si>
  <si>
    <t>LYK028</t>
  </si>
  <si>
    <t>LYK029</t>
  </si>
  <si>
    <t>LYK030</t>
  </si>
  <si>
    <t>LYK031</t>
  </si>
  <si>
    <t>LYK032</t>
  </si>
  <si>
    <t>LYK033</t>
  </si>
  <si>
    <t>LYK034</t>
  </si>
  <si>
    <t>LYK035</t>
  </si>
  <si>
    <t>LYK036</t>
  </si>
  <si>
    <t>LYK037</t>
  </si>
  <si>
    <t>LYK038</t>
  </si>
  <si>
    <t>LYK039</t>
  </si>
  <si>
    <t>LYK040</t>
  </si>
  <si>
    <t>LYK041</t>
  </si>
  <si>
    <t>LYK042</t>
  </si>
  <si>
    <t>LYK043</t>
  </si>
  <si>
    <t>LYK044</t>
  </si>
  <si>
    <t>LYK045</t>
  </si>
  <si>
    <t>LYK046</t>
  </si>
  <si>
    <t>LYK047</t>
  </si>
  <si>
    <t>LYK049</t>
  </si>
  <si>
    <t>LYK050</t>
  </si>
  <si>
    <t>LYK051</t>
  </si>
  <si>
    <t>LYK052</t>
  </si>
  <si>
    <t>LYK053</t>
  </si>
  <si>
    <t>LYK054</t>
  </si>
  <si>
    <t>LYK055</t>
  </si>
  <si>
    <t>LYK056</t>
  </si>
  <si>
    <t>LYK057</t>
  </si>
  <si>
    <t>LYK058</t>
  </si>
  <si>
    <t>LYK059</t>
  </si>
  <si>
    <t>LYK060</t>
  </si>
  <si>
    <t>LYK061</t>
  </si>
  <si>
    <t>LYK062</t>
  </si>
  <si>
    <t>LYK063</t>
  </si>
  <si>
    <t>LYK064</t>
  </si>
  <si>
    <t>LYK065</t>
  </si>
  <si>
    <t>LYK066</t>
  </si>
  <si>
    <t>LYK067</t>
  </si>
  <si>
    <t>LYK068</t>
  </si>
  <si>
    <t>LYK069</t>
  </si>
  <si>
    <t>LYK070</t>
  </si>
  <si>
    <t>LYK071</t>
  </si>
  <si>
    <t>LYK072</t>
  </si>
  <si>
    <t>LYK073</t>
  </si>
  <si>
    <t>LYK074</t>
  </si>
  <si>
    <t>LYK075</t>
  </si>
  <si>
    <t>LYK076</t>
  </si>
  <si>
    <t>LYK077</t>
  </si>
  <si>
    <t>LYK078</t>
  </si>
  <si>
    <t>LYK079</t>
  </si>
  <si>
    <t>LYK080</t>
  </si>
  <si>
    <t>LYK081</t>
  </si>
  <si>
    <t>LYK082</t>
  </si>
  <si>
    <t>LYK083</t>
  </si>
  <si>
    <t>LYK084</t>
  </si>
  <si>
    <t>LYK085</t>
  </si>
  <si>
    <t>LYK086</t>
  </si>
  <si>
    <t>LYK087</t>
  </si>
  <si>
    <t>LYK088</t>
  </si>
  <si>
    <t>LYK089</t>
  </si>
  <si>
    <t>LYK090</t>
  </si>
  <si>
    <t>LYK091</t>
  </si>
  <si>
    <t>LYK092</t>
  </si>
  <si>
    <t>LYK093</t>
  </si>
  <si>
    <t>LYK094</t>
  </si>
  <si>
    <t>LYK095</t>
  </si>
  <si>
    <t>LYK096</t>
  </si>
  <si>
    <t>LYK097</t>
  </si>
  <si>
    <t>LYK098</t>
  </si>
  <si>
    <t>LYK099</t>
  </si>
  <si>
    <t>LYK100</t>
  </si>
  <si>
    <t>LYK101</t>
  </si>
  <si>
    <t>LYK102</t>
  </si>
  <si>
    <t>LYK103</t>
  </si>
  <si>
    <t>LYK104</t>
  </si>
  <si>
    <t>LYK105</t>
  </si>
  <si>
    <t>LYK106</t>
  </si>
  <si>
    <t>LYK107</t>
  </si>
  <si>
    <t>LYK108</t>
  </si>
  <si>
    <t>LYK109</t>
  </si>
  <si>
    <t>LYK110</t>
  </si>
  <si>
    <t>LYK111</t>
  </si>
  <si>
    <t>LYK112</t>
  </si>
  <si>
    <t>LYK113</t>
  </si>
  <si>
    <t>LYK114</t>
  </si>
  <si>
    <t>LYK115</t>
  </si>
  <si>
    <t>LYK116</t>
  </si>
  <si>
    <t>LYK117</t>
  </si>
  <si>
    <t>LYK118</t>
  </si>
  <si>
    <t>LYK119</t>
  </si>
  <si>
    <t>LYK120</t>
  </si>
  <si>
    <t>LYK121</t>
  </si>
  <si>
    <t>LYK122</t>
  </si>
  <si>
    <t>LYK123</t>
  </si>
  <si>
    <t>LYK124</t>
  </si>
  <si>
    <t>LYK125</t>
  </si>
  <si>
    <t>LYK126</t>
  </si>
  <si>
    <t>LYK127</t>
  </si>
  <si>
    <t>LYK128</t>
  </si>
  <si>
    <t>LYK129</t>
  </si>
  <si>
    <t>LYK130</t>
  </si>
  <si>
    <t>LYK131</t>
  </si>
  <si>
    <t>LYK132</t>
  </si>
  <si>
    <t>LYK133</t>
  </si>
  <si>
    <t>LYK134</t>
  </si>
  <si>
    <t>LYK135</t>
  </si>
  <si>
    <t>LYK136</t>
  </si>
  <si>
    <t>LYK137</t>
  </si>
  <si>
    <t>LYK138</t>
  </si>
  <si>
    <t>LYK139</t>
  </si>
  <si>
    <t>LYK140</t>
  </si>
  <si>
    <t>LYK141</t>
  </si>
  <si>
    <t>LYK142</t>
  </si>
  <si>
    <t>LYK143</t>
  </si>
  <si>
    <t>LYK144</t>
  </si>
  <si>
    <t>LYK145</t>
  </si>
  <si>
    <t>LYK146</t>
  </si>
  <si>
    <t>LYK147</t>
  </si>
  <si>
    <t>LYK148</t>
  </si>
  <si>
    <t>LYK149</t>
  </si>
  <si>
    <t>LYK150</t>
  </si>
  <si>
    <t>LYK151</t>
  </si>
  <si>
    <t>LYK152</t>
  </si>
  <si>
    <t>LYK153</t>
  </si>
  <si>
    <t>LYK154</t>
  </si>
  <si>
    <t>LYK155</t>
  </si>
  <si>
    <t>LYK156</t>
  </si>
  <si>
    <t>LYK157</t>
  </si>
  <si>
    <t>LYK158</t>
  </si>
  <si>
    <t>LYK159</t>
  </si>
  <si>
    <t>LYK160</t>
  </si>
  <si>
    <t>Prix de vente</t>
  </si>
  <si>
    <t>Prix total</t>
  </si>
  <si>
    <t>LYK161</t>
  </si>
  <si>
    <t>TURQUIE CHAUSSETTES</t>
  </si>
  <si>
    <t>LYK162</t>
  </si>
  <si>
    <t>MC SERVIETTES GM</t>
  </si>
  <si>
    <t>LYK163</t>
  </si>
  <si>
    <t>MC SERVIETTES PM</t>
  </si>
  <si>
    <t>LYK164</t>
  </si>
  <si>
    <t>MC PULL OVER</t>
  </si>
  <si>
    <t>LYK165</t>
  </si>
  <si>
    <t>DAMLA ROBE LIN MARRON</t>
  </si>
  <si>
    <t>LYK166</t>
  </si>
  <si>
    <t>MC ENS 03P FILLE</t>
  </si>
  <si>
    <t>LYK167</t>
  </si>
  <si>
    <t xml:space="preserve">BELLO BABY GREN JAUNE </t>
  </si>
  <si>
    <t>LYK168</t>
  </si>
  <si>
    <t>MINILOVE ENS NAISS 05P</t>
  </si>
  <si>
    <t>MC BAVOIRS PACK 3</t>
  </si>
  <si>
    <t>LYK169</t>
  </si>
  <si>
    <t>SERVIETTES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</si>
</sst>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opLeftCell="A147" workbookViewId="0">
      <selection activeCell="M69" sqref="M69"/>
    </sheetView>
  </sheetViews>
  <sheetFormatPr defaultColWidth="9.14453125" defaultRowHeight="15" x14ac:dyDescent="0.2"/>
  <cols>
    <col min="2" max="2" width="44.390625" customWidth="1"/>
    <col min="3" max="4" width="11.02734375" customWidth="1"/>
    <col min="5" max="5" width="12.5078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329</v>
      </c>
    </row>
    <row r="2" spans="1:5" x14ac:dyDescent="0.2">
      <c r="A2" t="s">
        <v>4</v>
      </c>
      <c r="B2" t="s">
        <v>16</v>
      </c>
      <c r="C2">
        <v>3500</v>
      </c>
      <c r="D2">
        <v>1</v>
      </c>
      <c r="E2">
        <v>6500</v>
      </c>
    </row>
    <row r="3" spans="1:5" x14ac:dyDescent="0.2">
      <c r="A3" t="s">
        <v>5</v>
      </c>
      <c r="B3" t="s">
        <v>17</v>
      </c>
      <c r="C3">
        <v>3000</v>
      </c>
      <c r="D3">
        <v>10</v>
      </c>
      <c r="E3">
        <v>6000</v>
      </c>
    </row>
    <row r="4" spans="1:5" x14ac:dyDescent="0.2">
      <c r="A4" t="s">
        <v>6</v>
      </c>
      <c r="B4" t="s">
        <v>18</v>
      </c>
      <c r="C4">
        <v>500</v>
      </c>
      <c r="D4">
        <v>5</v>
      </c>
      <c r="E4">
        <v>1000</v>
      </c>
    </row>
    <row r="5" spans="1:5" x14ac:dyDescent="0.2">
      <c r="A5" t="s">
        <v>173</v>
      </c>
      <c r="B5" t="s">
        <v>19</v>
      </c>
      <c r="C5">
        <v>650</v>
      </c>
      <c r="D5">
        <v>18</v>
      </c>
      <c r="E5">
        <v>1300</v>
      </c>
    </row>
    <row r="6" spans="1:5" x14ac:dyDescent="0.2">
      <c r="A6" t="s">
        <v>174</v>
      </c>
      <c r="B6" t="s">
        <v>20</v>
      </c>
      <c r="C6">
        <v>2828</v>
      </c>
      <c r="D6">
        <v>12</v>
      </c>
      <c r="E6">
        <v>5656</v>
      </c>
    </row>
    <row r="7" spans="1:5" x14ac:dyDescent="0.2">
      <c r="A7" t="s">
        <v>175</v>
      </c>
      <c r="B7" t="s">
        <v>21</v>
      </c>
      <c r="C7">
        <v>2793</v>
      </c>
      <c r="D7">
        <v>4</v>
      </c>
      <c r="E7">
        <v>5586</v>
      </c>
    </row>
    <row r="8" spans="1:5" x14ac:dyDescent="0.2">
      <c r="A8" t="s">
        <v>176</v>
      </c>
      <c r="B8" t="s">
        <v>22</v>
      </c>
      <c r="C8">
        <v>3339</v>
      </c>
      <c r="D8">
        <v>4</v>
      </c>
      <c r="E8">
        <v>6678</v>
      </c>
    </row>
    <row r="9" spans="1:5" x14ac:dyDescent="0.2">
      <c r="A9" t="s">
        <v>177</v>
      </c>
      <c r="B9" t="s">
        <v>23</v>
      </c>
      <c r="C9">
        <v>3250</v>
      </c>
      <c r="D9">
        <v>2</v>
      </c>
      <c r="E9">
        <v>6500</v>
      </c>
    </row>
    <row r="10" spans="1:5" x14ac:dyDescent="0.2">
      <c r="A10" t="s">
        <v>178</v>
      </c>
      <c r="B10" t="s">
        <v>24</v>
      </c>
      <c r="C10">
        <v>3750</v>
      </c>
      <c r="D10">
        <v>1</v>
      </c>
      <c r="E10">
        <v>7500</v>
      </c>
    </row>
    <row r="11" spans="1:5" x14ac:dyDescent="0.2">
      <c r="A11" t="s">
        <v>179</v>
      </c>
      <c r="B11" t="s">
        <v>25</v>
      </c>
      <c r="C11">
        <v>4500</v>
      </c>
      <c r="D11">
        <v>2</v>
      </c>
      <c r="E11">
        <v>9000</v>
      </c>
    </row>
    <row r="12" spans="1:5" x14ac:dyDescent="0.2">
      <c r="A12" t="s">
        <v>180</v>
      </c>
      <c r="B12" t="s">
        <v>26</v>
      </c>
      <c r="C12">
        <v>3500</v>
      </c>
      <c r="D12">
        <v>4</v>
      </c>
      <c r="E12">
        <v>7000</v>
      </c>
    </row>
    <row r="13" spans="1:5" x14ac:dyDescent="0.2">
      <c r="A13" t="s">
        <v>181</v>
      </c>
      <c r="B13" t="s">
        <v>27</v>
      </c>
      <c r="C13">
        <v>3950</v>
      </c>
      <c r="D13">
        <v>4</v>
      </c>
      <c r="E13">
        <v>7900</v>
      </c>
    </row>
    <row r="14" spans="1:5" x14ac:dyDescent="0.2">
      <c r="A14" t="s">
        <v>182</v>
      </c>
      <c r="B14" t="s">
        <v>28</v>
      </c>
      <c r="C14">
        <v>4130</v>
      </c>
      <c r="D14">
        <v>4</v>
      </c>
      <c r="E14">
        <v>8260</v>
      </c>
    </row>
    <row r="15" spans="1:5" x14ac:dyDescent="0.2">
      <c r="A15" t="s">
        <v>183</v>
      </c>
      <c r="B15" t="s">
        <v>29</v>
      </c>
      <c r="C15">
        <v>4500</v>
      </c>
      <c r="D15">
        <v>3</v>
      </c>
      <c r="E15">
        <v>9000</v>
      </c>
    </row>
    <row r="16" spans="1:5" x14ac:dyDescent="0.2">
      <c r="A16" t="s">
        <v>184</v>
      </c>
      <c r="B16" t="s">
        <v>30</v>
      </c>
      <c r="C16">
        <v>3740</v>
      </c>
      <c r="D16">
        <v>2</v>
      </c>
      <c r="E16">
        <v>7480</v>
      </c>
    </row>
    <row r="17" spans="1:5" x14ac:dyDescent="0.2">
      <c r="A17" t="s">
        <v>185</v>
      </c>
      <c r="B17" t="s">
        <v>31</v>
      </c>
      <c r="C17">
        <v>1750</v>
      </c>
      <c r="D17">
        <v>10</v>
      </c>
      <c r="E17">
        <v>3500</v>
      </c>
    </row>
    <row r="18" spans="1:5" x14ac:dyDescent="0.2">
      <c r="A18" t="s">
        <v>186</v>
      </c>
      <c r="B18" t="s">
        <v>32</v>
      </c>
      <c r="C18">
        <v>750</v>
      </c>
      <c r="D18">
        <v>85</v>
      </c>
      <c r="E18">
        <v>1500</v>
      </c>
    </row>
    <row r="19" spans="1:5" x14ac:dyDescent="0.2">
      <c r="A19" t="s">
        <v>187</v>
      </c>
      <c r="B19" t="s">
        <v>33</v>
      </c>
      <c r="C19">
        <v>400</v>
      </c>
      <c r="D19">
        <v>14</v>
      </c>
      <c r="E19">
        <v>800</v>
      </c>
    </row>
    <row r="20" spans="1:5" x14ac:dyDescent="0.2">
      <c r="A20" t="s">
        <v>188</v>
      </c>
      <c r="B20" t="s">
        <v>34</v>
      </c>
      <c r="C20">
        <v>1000</v>
      </c>
      <c r="D20">
        <v>1</v>
      </c>
      <c r="E20">
        <v>2000</v>
      </c>
    </row>
    <row r="21" spans="1:5" x14ac:dyDescent="0.2">
      <c r="A21" t="s">
        <v>189</v>
      </c>
      <c r="B21" t="s">
        <v>35</v>
      </c>
      <c r="C21">
        <v>453.33</v>
      </c>
      <c r="D21">
        <v>60</v>
      </c>
      <c r="E21">
        <v>1000</v>
      </c>
    </row>
    <row r="22" spans="1:5" x14ac:dyDescent="0.2">
      <c r="A22" t="s">
        <v>190</v>
      </c>
      <c r="B22" t="s">
        <v>36</v>
      </c>
      <c r="C22">
        <v>641.5</v>
      </c>
      <c r="D22">
        <v>71</v>
      </c>
      <c r="E22">
        <v>1283</v>
      </c>
    </row>
    <row r="23" spans="1:5" x14ac:dyDescent="0.2">
      <c r="A23" t="s">
        <v>191</v>
      </c>
      <c r="B23" t="s">
        <v>37</v>
      </c>
      <c r="C23">
        <v>3250</v>
      </c>
      <c r="D23">
        <v>1</v>
      </c>
      <c r="E23">
        <v>6500</v>
      </c>
    </row>
    <row r="24" spans="1:5" s="2" customFormat="1" x14ac:dyDescent="0.2">
      <c r="A24" s="2" t="s">
        <v>192</v>
      </c>
      <c r="B24" s="2" t="s">
        <v>38</v>
      </c>
      <c r="C24" s="2">
        <v>3458</v>
      </c>
      <c r="D24" s="2">
        <v>3</v>
      </c>
      <c r="E24" s="2">
        <v>6916</v>
      </c>
    </row>
    <row r="25" spans="1:5" x14ac:dyDescent="0.2">
      <c r="A25" t="s">
        <v>193</v>
      </c>
      <c r="B25" t="s">
        <v>39</v>
      </c>
      <c r="C25">
        <v>204</v>
      </c>
      <c r="D25">
        <v>12</v>
      </c>
      <c r="E25">
        <v>408</v>
      </c>
    </row>
    <row r="26" spans="1:5" x14ac:dyDescent="0.2">
      <c r="A26" t="s">
        <v>194</v>
      </c>
      <c r="B26" t="s">
        <v>40</v>
      </c>
      <c r="C26">
        <v>278.5</v>
      </c>
      <c r="D26">
        <v>24</v>
      </c>
      <c r="E26">
        <v>557</v>
      </c>
    </row>
    <row r="27" spans="1:5" x14ac:dyDescent="0.2">
      <c r="A27" t="s">
        <v>195</v>
      </c>
      <c r="B27" t="s">
        <v>41</v>
      </c>
      <c r="C27">
        <v>750</v>
      </c>
      <c r="D27">
        <v>11</v>
      </c>
      <c r="E27">
        <v>1000</v>
      </c>
    </row>
    <row r="28" spans="1:5" x14ac:dyDescent="0.2">
      <c r="A28" t="s">
        <v>196</v>
      </c>
      <c r="B28" t="s">
        <v>42</v>
      </c>
      <c r="C28">
        <v>500</v>
      </c>
      <c r="D28">
        <v>6</v>
      </c>
      <c r="E28">
        <v>1000</v>
      </c>
    </row>
    <row r="29" spans="1:5" x14ac:dyDescent="0.2">
      <c r="A29" t="s">
        <v>197</v>
      </c>
      <c r="B29" t="s">
        <v>43</v>
      </c>
      <c r="C29">
        <v>1750</v>
      </c>
      <c r="D29">
        <v>3</v>
      </c>
      <c r="E29">
        <v>3500</v>
      </c>
    </row>
    <row r="30" spans="1:5" x14ac:dyDescent="0.2">
      <c r="A30" t="s">
        <v>198</v>
      </c>
      <c r="B30" t="s">
        <v>44</v>
      </c>
      <c r="C30">
        <v>2247</v>
      </c>
      <c r="D30">
        <v>4</v>
      </c>
      <c r="E30">
        <v>4494</v>
      </c>
    </row>
    <row r="31" spans="1:5" x14ac:dyDescent="0.2">
      <c r="A31" t="s">
        <v>199</v>
      </c>
      <c r="B31" t="s">
        <v>45</v>
      </c>
      <c r="C31">
        <v>3003</v>
      </c>
      <c r="D31">
        <v>3</v>
      </c>
      <c r="E31">
        <v>6006</v>
      </c>
    </row>
    <row r="32" spans="1:5" s="2" customFormat="1" x14ac:dyDescent="0.2">
      <c r="A32" s="2" t="s">
        <v>200</v>
      </c>
      <c r="B32" s="2" t="s">
        <v>46</v>
      </c>
      <c r="C32" s="2">
        <v>3801</v>
      </c>
      <c r="D32" s="2">
        <v>3</v>
      </c>
      <c r="E32" s="2">
        <v>7602</v>
      </c>
    </row>
    <row r="33" spans="1:5" x14ac:dyDescent="0.2">
      <c r="A33" t="s">
        <v>201</v>
      </c>
      <c r="B33" t="s">
        <v>47</v>
      </c>
      <c r="C33">
        <v>4557</v>
      </c>
      <c r="D33">
        <v>3</v>
      </c>
      <c r="E33">
        <v>9114</v>
      </c>
    </row>
    <row r="34" spans="1:5" x14ac:dyDescent="0.2">
      <c r="A34" t="s">
        <v>202</v>
      </c>
      <c r="B34" t="s">
        <v>48</v>
      </c>
      <c r="C34">
        <v>4000</v>
      </c>
      <c r="D34">
        <v>1</v>
      </c>
      <c r="E34">
        <v>8000</v>
      </c>
    </row>
    <row r="35" spans="1:5" x14ac:dyDescent="0.2">
      <c r="A35" t="s">
        <v>203</v>
      </c>
      <c r="B35" t="s">
        <v>49</v>
      </c>
      <c r="C35">
        <v>5138</v>
      </c>
      <c r="D35">
        <v>2</v>
      </c>
      <c r="E35">
        <v>10276</v>
      </c>
    </row>
    <row r="36" spans="1:5" x14ac:dyDescent="0.2">
      <c r="A36" t="s">
        <v>204</v>
      </c>
      <c r="B36" t="s">
        <v>50</v>
      </c>
      <c r="C36">
        <v>3626</v>
      </c>
      <c r="D36">
        <v>2</v>
      </c>
      <c r="E36">
        <v>7252</v>
      </c>
    </row>
    <row r="37" spans="1:5" x14ac:dyDescent="0.2">
      <c r="A37" t="s">
        <v>205</v>
      </c>
      <c r="B37" t="s">
        <v>51</v>
      </c>
      <c r="C37">
        <v>4250</v>
      </c>
      <c r="D37">
        <v>3</v>
      </c>
      <c r="E37">
        <v>8500</v>
      </c>
    </row>
    <row r="38" spans="1:5" x14ac:dyDescent="0.2">
      <c r="A38" t="s">
        <v>206</v>
      </c>
      <c r="B38" t="s">
        <v>52</v>
      </c>
      <c r="C38">
        <v>4000</v>
      </c>
      <c r="D38">
        <v>1</v>
      </c>
      <c r="E38">
        <v>8000</v>
      </c>
    </row>
    <row r="39" spans="1:5" x14ac:dyDescent="0.2">
      <c r="A39" t="s">
        <v>207</v>
      </c>
      <c r="B39" t="s">
        <v>53</v>
      </c>
      <c r="C39">
        <v>2548</v>
      </c>
      <c r="D39">
        <v>4</v>
      </c>
      <c r="E39">
        <v>5096</v>
      </c>
    </row>
    <row r="40" spans="1:5" x14ac:dyDescent="0.2">
      <c r="A40" t="s">
        <v>208</v>
      </c>
      <c r="B40" t="s">
        <v>54</v>
      </c>
      <c r="C40">
        <v>2548</v>
      </c>
      <c r="D40">
        <v>4</v>
      </c>
      <c r="E40">
        <v>5096</v>
      </c>
    </row>
    <row r="41" spans="1:5" x14ac:dyDescent="0.2">
      <c r="A41" t="s">
        <v>209</v>
      </c>
      <c r="B41" t="s">
        <v>55</v>
      </c>
      <c r="C41">
        <v>2891</v>
      </c>
      <c r="D41">
        <v>4</v>
      </c>
      <c r="E41">
        <v>5782</v>
      </c>
    </row>
    <row r="42" spans="1:5" x14ac:dyDescent="0.2">
      <c r="A42" t="s">
        <v>210</v>
      </c>
      <c r="B42" t="s">
        <v>56</v>
      </c>
      <c r="C42">
        <v>4000</v>
      </c>
      <c r="D42">
        <v>3</v>
      </c>
      <c r="E42">
        <v>8000</v>
      </c>
    </row>
    <row r="43" spans="1:5" x14ac:dyDescent="0.2">
      <c r="A43" t="s">
        <v>211</v>
      </c>
      <c r="B43" t="s">
        <v>57</v>
      </c>
      <c r="C43">
        <v>3750</v>
      </c>
      <c r="D43">
        <v>2</v>
      </c>
      <c r="E43">
        <v>7500</v>
      </c>
    </row>
    <row r="44" spans="1:5" x14ac:dyDescent="0.2">
      <c r="A44" t="s">
        <v>212</v>
      </c>
      <c r="B44" t="s">
        <v>58</v>
      </c>
      <c r="C44">
        <v>2250</v>
      </c>
      <c r="D44">
        <v>3</v>
      </c>
      <c r="E44">
        <v>4500</v>
      </c>
    </row>
    <row r="45" spans="1:5" x14ac:dyDescent="0.2">
      <c r="A45" t="s">
        <v>213</v>
      </c>
      <c r="B45" t="s">
        <v>59</v>
      </c>
      <c r="C45">
        <v>3626</v>
      </c>
      <c r="D45">
        <v>4</v>
      </c>
      <c r="E45">
        <v>7252</v>
      </c>
    </row>
    <row r="46" spans="1:5" x14ac:dyDescent="0.2">
      <c r="A46" t="s">
        <v>214</v>
      </c>
      <c r="B46" t="s">
        <v>60</v>
      </c>
      <c r="C46">
        <v>4000</v>
      </c>
      <c r="D46">
        <v>1</v>
      </c>
      <c r="E46">
        <v>8000</v>
      </c>
    </row>
    <row r="47" spans="1:5" x14ac:dyDescent="0.2">
      <c r="A47" t="s">
        <v>215</v>
      </c>
      <c r="B47" t="s">
        <v>61</v>
      </c>
      <c r="C47">
        <v>4750</v>
      </c>
      <c r="D47">
        <v>1</v>
      </c>
      <c r="E47">
        <v>9500</v>
      </c>
    </row>
    <row r="48" spans="1:5" x14ac:dyDescent="0.2">
      <c r="A48" t="s">
        <v>216</v>
      </c>
      <c r="B48" t="s">
        <v>62</v>
      </c>
      <c r="C48">
        <v>2500</v>
      </c>
      <c r="D48">
        <v>3</v>
      </c>
      <c r="E48">
        <v>5000</v>
      </c>
    </row>
    <row r="49" spans="1:5" x14ac:dyDescent="0.2">
      <c r="A49" t="s">
        <v>217</v>
      </c>
      <c r="B49" t="s">
        <v>63</v>
      </c>
      <c r="C49">
        <v>2500</v>
      </c>
      <c r="D49">
        <v>2</v>
      </c>
      <c r="E49">
        <v>5000</v>
      </c>
    </row>
    <row r="50" spans="1:5" x14ac:dyDescent="0.2">
      <c r="A50" t="s">
        <v>218</v>
      </c>
      <c r="B50" t="s">
        <v>64</v>
      </c>
      <c r="C50">
        <v>1000</v>
      </c>
      <c r="D50">
        <v>1</v>
      </c>
      <c r="E50">
        <v>2000</v>
      </c>
    </row>
    <row r="51" spans="1:5" x14ac:dyDescent="0.2">
      <c r="A51" t="s">
        <v>219</v>
      </c>
      <c r="B51" t="s">
        <v>65</v>
      </c>
      <c r="C51">
        <v>1250</v>
      </c>
      <c r="D51">
        <v>9</v>
      </c>
      <c r="E51">
        <v>2500</v>
      </c>
    </row>
    <row r="52" spans="1:5" x14ac:dyDescent="0.2">
      <c r="A52" t="s">
        <v>220</v>
      </c>
      <c r="B52" t="s">
        <v>66</v>
      </c>
      <c r="C52">
        <v>5000</v>
      </c>
      <c r="D52">
        <v>4</v>
      </c>
      <c r="E52">
        <v>10000</v>
      </c>
    </row>
    <row r="53" spans="1:5" x14ac:dyDescent="0.2">
      <c r="A53" t="s">
        <v>221</v>
      </c>
      <c r="B53" t="s">
        <v>67</v>
      </c>
      <c r="C53">
        <v>5750</v>
      </c>
      <c r="D53">
        <v>1</v>
      </c>
      <c r="E53">
        <v>11500</v>
      </c>
    </row>
    <row r="54" spans="1:5" x14ac:dyDescent="0.2">
      <c r="A54" t="s">
        <v>222</v>
      </c>
      <c r="B54" t="s">
        <v>68</v>
      </c>
      <c r="C54">
        <v>5000</v>
      </c>
      <c r="D54">
        <v>3</v>
      </c>
      <c r="E54">
        <v>10000</v>
      </c>
    </row>
    <row r="55" spans="1:5" x14ac:dyDescent="0.2">
      <c r="A55" t="s">
        <v>223</v>
      </c>
      <c r="B55" t="s">
        <v>69</v>
      </c>
      <c r="C55">
        <v>4500</v>
      </c>
      <c r="D55">
        <v>1</v>
      </c>
      <c r="E55">
        <v>9000</v>
      </c>
    </row>
    <row r="56" spans="1:5" x14ac:dyDescent="0.2">
      <c r="A56" t="s">
        <v>224</v>
      </c>
      <c r="B56" t="s">
        <v>70</v>
      </c>
      <c r="C56">
        <v>3250</v>
      </c>
      <c r="D56">
        <v>3</v>
      </c>
      <c r="E56">
        <v>6500</v>
      </c>
    </row>
    <row r="57" spans="1:5" x14ac:dyDescent="0.2">
      <c r="A57" t="s">
        <v>225</v>
      </c>
      <c r="B57" t="s">
        <v>71</v>
      </c>
      <c r="C57">
        <v>3500</v>
      </c>
      <c r="D57">
        <v>2</v>
      </c>
      <c r="E57">
        <v>7000</v>
      </c>
    </row>
    <row r="58" spans="1:5" x14ac:dyDescent="0.2">
      <c r="A58" t="s">
        <v>226</v>
      </c>
      <c r="B58" t="s">
        <v>72</v>
      </c>
      <c r="C58">
        <v>750</v>
      </c>
      <c r="D58">
        <v>2</v>
      </c>
      <c r="E58">
        <v>1500</v>
      </c>
    </row>
    <row r="59" spans="1:5" x14ac:dyDescent="0.2">
      <c r="A59" t="s">
        <v>227</v>
      </c>
      <c r="B59" t="s">
        <v>73</v>
      </c>
      <c r="C59">
        <v>3164</v>
      </c>
      <c r="D59">
        <v>16</v>
      </c>
      <c r="E59">
        <v>6328</v>
      </c>
    </row>
    <row r="60" spans="1:5" x14ac:dyDescent="0.2">
      <c r="A60" t="s">
        <v>228</v>
      </c>
      <c r="B60" t="s">
        <v>74</v>
      </c>
      <c r="C60">
        <v>3750</v>
      </c>
      <c r="D60">
        <v>1</v>
      </c>
      <c r="E60">
        <v>7500</v>
      </c>
    </row>
    <row r="61" spans="1:5" s="2" customFormat="1" x14ac:dyDescent="0.2">
      <c r="A61" s="2" t="s">
        <v>229</v>
      </c>
      <c r="B61" s="2" t="s">
        <v>75</v>
      </c>
      <c r="C61" s="2">
        <v>4032</v>
      </c>
      <c r="D61" s="2">
        <v>6</v>
      </c>
      <c r="E61" s="2">
        <v>8064</v>
      </c>
    </row>
    <row r="62" spans="1:5" x14ac:dyDescent="0.2">
      <c r="A62" t="s">
        <v>230</v>
      </c>
      <c r="B62" t="s">
        <v>76</v>
      </c>
      <c r="C62">
        <v>3750</v>
      </c>
      <c r="D62">
        <v>1</v>
      </c>
      <c r="E62">
        <v>7500</v>
      </c>
    </row>
    <row r="63" spans="1:5" x14ac:dyDescent="0.2">
      <c r="A63" t="s">
        <v>231</v>
      </c>
      <c r="B63" t="s">
        <v>77</v>
      </c>
      <c r="C63">
        <v>4250</v>
      </c>
      <c r="D63">
        <v>1</v>
      </c>
      <c r="E63">
        <v>8500</v>
      </c>
    </row>
    <row r="64" spans="1:5" x14ac:dyDescent="0.2">
      <c r="A64" t="s">
        <v>232</v>
      </c>
      <c r="B64" t="s">
        <v>78</v>
      </c>
      <c r="C64">
        <v>3750</v>
      </c>
      <c r="D64">
        <v>3</v>
      </c>
      <c r="E64">
        <v>7500</v>
      </c>
    </row>
    <row r="65" spans="1:5" x14ac:dyDescent="0.2">
      <c r="A65" t="s">
        <v>233</v>
      </c>
      <c r="B65" t="s">
        <v>79</v>
      </c>
      <c r="C65">
        <v>3750</v>
      </c>
      <c r="D65">
        <v>3</v>
      </c>
      <c r="E65">
        <v>7500</v>
      </c>
    </row>
    <row r="66" spans="1:5" x14ac:dyDescent="0.2">
      <c r="A66" t="s">
        <v>234</v>
      </c>
      <c r="B66" t="s">
        <v>80</v>
      </c>
      <c r="C66">
        <v>3250</v>
      </c>
      <c r="D66">
        <v>1</v>
      </c>
      <c r="E66">
        <v>6500</v>
      </c>
    </row>
    <row r="67" spans="1:5" x14ac:dyDescent="0.2">
      <c r="A67" t="s">
        <v>235</v>
      </c>
      <c r="B67" t="s">
        <v>81</v>
      </c>
      <c r="C67">
        <v>3750</v>
      </c>
      <c r="D67">
        <v>1</v>
      </c>
      <c r="E67">
        <v>7500</v>
      </c>
    </row>
    <row r="68" spans="1:5" x14ac:dyDescent="0.2">
      <c r="A68" t="s">
        <v>236</v>
      </c>
      <c r="B68" t="s">
        <v>82</v>
      </c>
      <c r="C68">
        <v>3500</v>
      </c>
      <c r="D68">
        <v>4</v>
      </c>
      <c r="E68">
        <v>7000</v>
      </c>
    </row>
    <row r="69" spans="1:5" x14ac:dyDescent="0.2">
      <c r="A69" t="s">
        <v>237</v>
      </c>
      <c r="B69" t="s">
        <v>83</v>
      </c>
      <c r="C69">
        <v>3000</v>
      </c>
      <c r="D69">
        <v>1</v>
      </c>
      <c r="E69">
        <v>6000</v>
      </c>
    </row>
    <row r="70" spans="1:5" x14ac:dyDescent="0.2">
      <c r="A70" t="s">
        <v>238</v>
      </c>
      <c r="B70" t="s">
        <v>84</v>
      </c>
      <c r="C70">
        <v>1500</v>
      </c>
      <c r="D70">
        <v>17</v>
      </c>
      <c r="E70">
        <v>2000</v>
      </c>
    </row>
    <row r="71" spans="1:5" x14ac:dyDescent="0.2">
      <c r="A71" t="s">
        <v>239</v>
      </c>
      <c r="B71" t="s">
        <v>85</v>
      </c>
      <c r="C71">
        <v>1500</v>
      </c>
      <c r="D71">
        <v>15</v>
      </c>
      <c r="E71">
        <v>2000</v>
      </c>
    </row>
    <row r="72" spans="1:5" x14ac:dyDescent="0.2">
      <c r="A72" t="s">
        <v>240</v>
      </c>
      <c r="B72" t="s">
        <v>86</v>
      </c>
      <c r="C72">
        <v>1500</v>
      </c>
      <c r="D72">
        <v>1</v>
      </c>
      <c r="E72">
        <v>2500</v>
      </c>
    </row>
    <row r="73" spans="1:5" x14ac:dyDescent="0.2">
      <c r="A73" t="s">
        <v>241</v>
      </c>
      <c r="B73" t="s">
        <v>87</v>
      </c>
      <c r="C73">
        <v>1750</v>
      </c>
      <c r="D73">
        <v>1</v>
      </c>
      <c r="E73">
        <v>3500</v>
      </c>
    </row>
    <row r="74" spans="1:5" x14ac:dyDescent="0.2">
      <c r="A74" t="s">
        <v>242</v>
      </c>
      <c r="B74" t="s">
        <v>88</v>
      </c>
      <c r="C74">
        <v>3500</v>
      </c>
      <c r="D74">
        <v>2</v>
      </c>
      <c r="E74">
        <v>6000</v>
      </c>
    </row>
    <row r="75" spans="1:5" x14ac:dyDescent="0.2">
      <c r="A75" t="s">
        <v>243</v>
      </c>
      <c r="B75" t="s">
        <v>347</v>
      </c>
      <c r="C75">
        <v>1500</v>
      </c>
      <c r="D75">
        <v>1</v>
      </c>
      <c r="E75">
        <v>3000</v>
      </c>
    </row>
    <row r="76" spans="1:5" x14ac:dyDescent="0.2">
      <c r="A76" t="s">
        <v>244</v>
      </c>
      <c r="B76" t="s">
        <v>89</v>
      </c>
      <c r="C76">
        <v>3500</v>
      </c>
      <c r="D76">
        <v>1</v>
      </c>
      <c r="E76">
        <v>5000</v>
      </c>
    </row>
    <row r="77" spans="1:5" x14ac:dyDescent="0.2">
      <c r="A77" t="s">
        <v>245</v>
      </c>
      <c r="B77" t="s">
        <v>90</v>
      </c>
      <c r="C77">
        <v>375</v>
      </c>
      <c r="D77">
        <v>3</v>
      </c>
      <c r="E77">
        <v>750</v>
      </c>
    </row>
    <row r="78" spans="1:5" x14ac:dyDescent="0.2">
      <c r="A78" t="s">
        <v>246</v>
      </c>
      <c r="B78" t="s">
        <v>91</v>
      </c>
      <c r="C78">
        <v>375</v>
      </c>
      <c r="D78">
        <v>4</v>
      </c>
      <c r="E78">
        <v>750</v>
      </c>
    </row>
    <row r="79" spans="1:5" x14ac:dyDescent="0.2">
      <c r="A79" t="s">
        <v>247</v>
      </c>
      <c r="B79" t="s">
        <v>92</v>
      </c>
      <c r="C79">
        <v>750</v>
      </c>
      <c r="D79">
        <v>2</v>
      </c>
      <c r="E79">
        <v>1500</v>
      </c>
    </row>
    <row r="80" spans="1:5" x14ac:dyDescent="0.2">
      <c r="A80" t="s">
        <v>248</v>
      </c>
      <c r="B80" t="s">
        <v>93</v>
      </c>
      <c r="C80">
        <v>3500</v>
      </c>
      <c r="D80">
        <v>1</v>
      </c>
      <c r="E80">
        <v>5000</v>
      </c>
    </row>
    <row r="81" spans="1:5" x14ac:dyDescent="0.2">
      <c r="A81" t="s">
        <v>249</v>
      </c>
      <c r="B81" t="s">
        <v>93</v>
      </c>
      <c r="C81">
        <v>1400</v>
      </c>
      <c r="D81">
        <v>5</v>
      </c>
      <c r="E81">
        <v>3000</v>
      </c>
    </row>
    <row r="82" spans="1:5" x14ac:dyDescent="0.2">
      <c r="A82" t="s">
        <v>250</v>
      </c>
      <c r="B82" t="s">
        <v>94</v>
      </c>
      <c r="C82">
        <v>500</v>
      </c>
      <c r="D82">
        <v>4</v>
      </c>
      <c r="E82">
        <v>1000</v>
      </c>
    </row>
    <row r="83" spans="1:5" x14ac:dyDescent="0.2">
      <c r="A83" t="s">
        <v>251</v>
      </c>
      <c r="B83" t="s">
        <v>95</v>
      </c>
      <c r="C83">
        <v>3250</v>
      </c>
      <c r="D83">
        <v>2</v>
      </c>
      <c r="E83">
        <v>6500</v>
      </c>
    </row>
    <row r="84" spans="1:5" x14ac:dyDescent="0.2">
      <c r="A84" t="s">
        <v>252</v>
      </c>
      <c r="B84" t="s">
        <v>96</v>
      </c>
      <c r="C84">
        <v>1250</v>
      </c>
      <c r="D84">
        <v>2</v>
      </c>
      <c r="E84">
        <v>2500</v>
      </c>
    </row>
    <row r="85" spans="1:5" x14ac:dyDescent="0.2">
      <c r="A85" t="s">
        <v>253</v>
      </c>
      <c r="B85" t="s">
        <v>97</v>
      </c>
      <c r="C85">
        <v>1500</v>
      </c>
      <c r="D85">
        <v>5</v>
      </c>
      <c r="E85">
        <v>2000</v>
      </c>
    </row>
    <row r="86" spans="1:5" x14ac:dyDescent="0.2">
      <c r="A86" t="s">
        <v>254</v>
      </c>
      <c r="B86" t="s">
        <v>98</v>
      </c>
      <c r="C86">
        <v>2000</v>
      </c>
      <c r="D86">
        <v>7</v>
      </c>
      <c r="E86">
        <v>2500</v>
      </c>
    </row>
    <row r="87" spans="1:5" x14ac:dyDescent="0.2">
      <c r="A87" t="s">
        <v>255</v>
      </c>
      <c r="B87" t="s">
        <v>99</v>
      </c>
      <c r="C87">
        <v>1862</v>
      </c>
      <c r="D87">
        <v>2</v>
      </c>
      <c r="E87">
        <v>3724</v>
      </c>
    </row>
    <row r="88" spans="1:5" x14ac:dyDescent="0.2">
      <c r="A88" t="s">
        <v>256</v>
      </c>
      <c r="B88" t="s">
        <v>100</v>
      </c>
      <c r="C88">
        <v>3675</v>
      </c>
      <c r="D88">
        <v>3</v>
      </c>
      <c r="E88">
        <v>7350</v>
      </c>
    </row>
    <row r="89" spans="1:5" x14ac:dyDescent="0.2">
      <c r="A89" t="s">
        <v>257</v>
      </c>
      <c r="B89" t="s">
        <v>101</v>
      </c>
      <c r="C89">
        <v>4270</v>
      </c>
      <c r="D89">
        <v>3</v>
      </c>
      <c r="E89">
        <v>8540</v>
      </c>
    </row>
    <row r="90" spans="1:5" x14ac:dyDescent="0.2">
      <c r="A90" t="s">
        <v>258</v>
      </c>
      <c r="B90" t="s">
        <v>102</v>
      </c>
      <c r="C90">
        <v>750</v>
      </c>
      <c r="D90">
        <v>2</v>
      </c>
      <c r="E90">
        <v>1500</v>
      </c>
    </row>
    <row r="91" spans="1:5" x14ac:dyDescent="0.2">
      <c r="A91" t="s">
        <v>259</v>
      </c>
      <c r="B91" t="s">
        <v>103</v>
      </c>
      <c r="C91">
        <v>2268</v>
      </c>
      <c r="D91">
        <v>6</v>
      </c>
      <c r="E91">
        <v>4536</v>
      </c>
    </row>
    <row r="92" spans="1:5" x14ac:dyDescent="0.2">
      <c r="A92" t="s">
        <v>260</v>
      </c>
      <c r="B92" t="s">
        <v>104</v>
      </c>
      <c r="C92">
        <v>3000</v>
      </c>
      <c r="D92">
        <v>1</v>
      </c>
      <c r="E92">
        <v>6000</v>
      </c>
    </row>
    <row r="93" spans="1:5" x14ac:dyDescent="0.2">
      <c r="A93" t="s">
        <v>261</v>
      </c>
      <c r="B93" t="s">
        <v>105</v>
      </c>
      <c r="C93">
        <v>1750</v>
      </c>
      <c r="D93">
        <v>10</v>
      </c>
      <c r="E93">
        <v>3500</v>
      </c>
    </row>
    <row r="94" spans="1:5" x14ac:dyDescent="0.2">
      <c r="A94" t="s">
        <v>262</v>
      </c>
      <c r="B94" t="s">
        <v>106</v>
      </c>
      <c r="C94">
        <v>840</v>
      </c>
      <c r="D94">
        <v>24</v>
      </c>
      <c r="E94">
        <v>1680</v>
      </c>
    </row>
    <row r="95" spans="1:5" x14ac:dyDescent="0.2">
      <c r="A95" t="s">
        <v>263</v>
      </c>
      <c r="B95" t="s">
        <v>107</v>
      </c>
      <c r="C95">
        <v>4000</v>
      </c>
      <c r="D95">
        <v>4</v>
      </c>
      <c r="E95">
        <v>8000</v>
      </c>
    </row>
    <row r="96" spans="1:5" x14ac:dyDescent="0.2">
      <c r="A96" t="s">
        <v>264</v>
      </c>
      <c r="B96" t="s">
        <v>108</v>
      </c>
      <c r="C96">
        <v>5250</v>
      </c>
      <c r="D96">
        <v>3</v>
      </c>
      <c r="E96">
        <v>10500</v>
      </c>
    </row>
    <row r="97" spans="1:5" x14ac:dyDescent="0.2">
      <c r="A97" t="s">
        <v>265</v>
      </c>
      <c r="B97" t="s">
        <v>109</v>
      </c>
      <c r="C97">
        <v>3750</v>
      </c>
      <c r="D97">
        <v>2</v>
      </c>
      <c r="E97">
        <v>7500</v>
      </c>
    </row>
    <row r="98" spans="1:5" x14ac:dyDescent="0.2">
      <c r="A98" t="s">
        <v>266</v>
      </c>
      <c r="B98" t="s">
        <v>110</v>
      </c>
      <c r="C98">
        <v>3750</v>
      </c>
      <c r="D98">
        <v>2</v>
      </c>
      <c r="E98">
        <v>7500</v>
      </c>
    </row>
    <row r="99" spans="1:5" s="2" customFormat="1" x14ac:dyDescent="0.2">
      <c r="A99" s="2" t="s">
        <v>267</v>
      </c>
      <c r="B99" s="2" t="s">
        <v>111</v>
      </c>
      <c r="C99" s="2">
        <v>4508</v>
      </c>
      <c r="D99" s="2">
        <v>4</v>
      </c>
      <c r="E99" s="2">
        <v>9016</v>
      </c>
    </row>
    <row r="100" spans="1:5" x14ac:dyDescent="0.2">
      <c r="A100" t="s">
        <v>268</v>
      </c>
      <c r="B100" t="s">
        <v>112</v>
      </c>
      <c r="C100">
        <v>2000</v>
      </c>
      <c r="D100">
        <v>1</v>
      </c>
      <c r="E100">
        <v>4000</v>
      </c>
    </row>
    <row r="101" spans="1:5" x14ac:dyDescent="0.2">
      <c r="A101" t="s">
        <v>269</v>
      </c>
      <c r="B101" t="s">
        <v>113</v>
      </c>
      <c r="C101">
        <v>3250</v>
      </c>
      <c r="D101">
        <v>4</v>
      </c>
      <c r="E101">
        <v>6500</v>
      </c>
    </row>
    <row r="102" spans="1:5" x14ac:dyDescent="0.2">
      <c r="A102" t="s">
        <v>270</v>
      </c>
      <c r="B102" t="s">
        <v>114</v>
      </c>
      <c r="C102">
        <v>4750</v>
      </c>
      <c r="D102">
        <v>4</v>
      </c>
      <c r="E102">
        <v>9500</v>
      </c>
    </row>
    <row r="103" spans="1:5" x14ac:dyDescent="0.2">
      <c r="A103" t="s">
        <v>271</v>
      </c>
      <c r="B103" t="s">
        <v>115</v>
      </c>
      <c r="C103">
        <v>3000</v>
      </c>
      <c r="D103">
        <v>1</v>
      </c>
      <c r="E103">
        <v>6000</v>
      </c>
    </row>
    <row r="104" spans="1:5" x14ac:dyDescent="0.2">
      <c r="A104" t="s">
        <v>272</v>
      </c>
      <c r="B104" t="s">
        <v>116</v>
      </c>
      <c r="C104">
        <v>3500</v>
      </c>
      <c r="D104">
        <v>2</v>
      </c>
      <c r="E104">
        <v>7000</v>
      </c>
    </row>
    <row r="105" spans="1:5" x14ac:dyDescent="0.2">
      <c r="A105" t="s">
        <v>273</v>
      </c>
      <c r="B105" t="s">
        <v>117</v>
      </c>
      <c r="C105">
        <v>2765</v>
      </c>
      <c r="D105">
        <v>4</v>
      </c>
      <c r="E105">
        <v>5530</v>
      </c>
    </row>
    <row r="106" spans="1:5" s="2" customFormat="1" x14ac:dyDescent="0.2">
      <c r="A106" s="2" t="s">
        <v>274</v>
      </c>
      <c r="B106" s="2" t="s">
        <v>118</v>
      </c>
      <c r="C106" s="2">
        <v>3045</v>
      </c>
      <c r="D106" s="2">
        <v>4</v>
      </c>
      <c r="E106" s="2">
        <v>6090</v>
      </c>
    </row>
    <row r="107" spans="1:5" x14ac:dyDescent="0.2">
      <c r="A107" t="s">
        <v>275</v>
      </c>
      <c r="B107" t="s">
        <v>119</v>
      </c>
      <c r="C107">
        <v>1250</v>
      </c>
      <c r="D107">
        <v>6</v>
      </c>
      <c r="E107">
        <v>2500</v>
      </c>
    </row>
    <row r="108" spans="1:5" x14ac:dyDescent="0.2">
      <c r="A108" t="s">
        <v>276</v>
      </c>
      <c r="B108" t="s">
        <v>120</v>
      </c>
      <c r="C108">
        <v>2765</v>
      </c>
      <c r="D108">
        <v>4</v>
      </c>
      <c r="E108">
        <v>5530</v>
      </c>
    </row>
    <row r="109" spans="1:5" x14ac:dyDescent="0.2">
      <c r="A109" t="s">
        <v>277</v>
      </c>
      <c r="B109" t="s">
        <v>121</v>
      </c>
      <c r="C109">
        <v>2765</v>
      </c>
      <c r="D109">
        <v>4</v>
      </c>
      <c r="E109">
        <v>5530</v>
      </c>
    </row>
    <row r="110" spans="1:5" x14ac:dyDescent="0.2">
      <c r="A110" t="s">
        <v>278</v>
      </c>
      <c r="B110" t="s">
        <v>122</v>
      </c>
      <c r="C110">
        <v>2555</v>
      </c>
      <c r="D110">
        <v>4</v>
      </c>
      <c r="E110">
        <v>5110</v>
      </c>
    </row>
    <row r="111" spans="1:5" x14ac:dyDescent="0.2">
      <c r="A111" t="s">
        <v>279</v>
      </c>
      <c r="B111" t="s">
        <v>123</v>
      </c>
      <c r="C111">
        <v>2765</v>
      </c>
      <c r="D111">
        <v>4</v>
      </c>
      <c r="E111">
        <v>5530</v>
      </c>
    </row>
    <row r="112" spans="1:5" x14ac:dyDescent="0.2">
      <c r="A112" t="s">
        <v>280</v>
      </c>
      <c r="B112" t="s">
        <v>124</v>
      </c>
      <c r="C112">
        <v>2765</v>
      </c>
      <c r="D112">
        <v>4</v>
      </c>
      <c r="E112">
        <v>5530</v>
      </c>
    </row>
    <row r="113" spans="1:5" x14ac:dyDescent="0.2">
      <c r="A113" t="s">
        <v>281</v>
      </c>
      <c r="B113" t="s">
        <v>125</v>
      </c>
      <c r="C113">
        <v>4750</v>
      </c>
      <c r="D113">
        <v>3</v>
      </c>
      <c r="E113">
        <v>9500</v>
      </c>
    </row>
    <row r="114" spans="1:5" x14ac:dyDescent="0.2">
      <c r="A114" t="s">
        <v>282</v>
      </c>
      <c r="B114" t="s">
        <v>126</v>
      </c>
      <c r="C114">
        <v>3250</v>
      </c>
      <c r="D114">
        <v>1</v>
      </c>
      <c r="E114">
        <v>6500</v>
      </c>
    </row>
    <row r="115" spans="1:5" x14ac:dyDescent="0.2">
      <c r="A115" t="s">
        <v>283</v>
      </c>
      <c r="B115" t="s">
        <v>127</v>
      </c>
      <c r="C115">
        <v>3000</v>
      </c>
      <c r="D115">
        <v>5</v>
      </c>
      <c r="E115">
        <v>6000</v>
      </c>
    </row>
    <row r="116" spans="1:5" x14ac:dyDescent="0.2">
      <c r="A116" t="s">
        <v>284</v>
      </c>
      <c r="B116" t="s">
        <v>128</v>
      </c>
      <c r="C116">
        <v>2500</v>
      </c>
      <c r="D116">
        <v>1</v>
      </c>
      <c r="E116">
        <v>5000</v>
      </c>
    </row>
    <row r="117" spans="1:5" x14ac:dyDescent="0.2">
      <c r="A117" t="s">
        <v>285</v>
      </c>
      <c r="B117" t="s">
        <v>129</v>
      </c>
      <c r="C117">
        <v>2695</v>
      </c>
      <c r="D117">
        <v>4</v>
      </c>
      <c r="E117">
        <v>5390</v>
      </c>
    </row>
    <row r="118" spans="1:5" x14ac:dyDescent="0.2">
      <c r="A118" t="s">
        <v>286</v>
      </c>
      <c r="B118" t="s">
        <v>130</v>
      </c>
      <c r="C118">
        <v>2415</v>
      </c>
      <c r="D118">
        <v>4</v>
      </c>
      <c r="E118">
        <v>4830</v>
      </c>
    </row>
    <row r="119" spans="1:5" x14ac:dyDescent="0.2">
      <c r="A119" t="s">
        <v>287</v>
      </c>
      <c r="B119" t="s">
        <v>131</v>
      </c>
      <c r="C119">
        <v>2275</v>
      </c>
      <c r="D119">
        <v>4</v>
      </c>
      <c r="E119">
        <v>4550</v>
      </c>
    </row>
    <row r="120" spans="1:5" x14ac:dyDescent="0.2">
      <c r="A120" t="s">
        <v>288</v>
      </c>
      <c r="B120" t="s">
        <v>132</v>
      </c>
      <c r="C120">
        <v>1750</v>
      </c>
      <c r="D120">
        <v>4</v>
      </c>
      <c r="E120">
        <v>3500</v>
      </c>
    </row>
    <row r="121" spans="1:5" x14ac:dyDescent="0.2">
      <c r="A121" t="s">
        <v>289</v>
      </c>
      <c r="B121" t="s">
        <v>133</v>
      </c>
      <c r="C121">
        <v>4375</v>
      </c>
      <c r="D121">
        <v>10</v>
      </c>
      <c r="E121">
        <v>8750</v>
      </c>
    </row>
    <row r="122" spans="1:5" x14ac:dyDescent="0.2">
      <c r="A122" t="s">
        <v>290</v>
      </c>
      <c r="B122" t="s">
        <v>134</v>
      </c>
      <c r="C122">
        <v>2765</v>
      </c>
      <c r="D122">
        <v>4</v>
      </c>
      <c r="E122">
        <v>5530</v>
      </c>
    </row>
    <row r="123" spans="1:5" s="2" customFormat="1" x14ac:dyDescent="0.2">
      <c r="A123" s="2" t="s">
        <v>291</v>
      </c>
      <c r="B123" s="2" t="s">
        <v>135</v>
      </c>
      <c r="C123" s="2">
        <v>2765</v>
      </c>
      <c r="D123" s="2">
        <v>4</v>
      </c>
      <c r="E123" s="2">
        <v>5530</v>
      </c>
    </row>
    <row r="124" spans="1:5" x14ac:dyDescent="0.2">
      <c r="A124" t="s">
        <v>292</v>
      </c>
      <c r="B124" t="s">
        <v>136</v>
      </c>
      <c r="C124">
        <v>2765</v>
      </c>
      <c r="D124">
        <v>4</v>
      </c>
      <c r="E124">
        <v>5530</v>
      </c>
    </row>
    <row r="125" spans="1:5" x14ac:dyDescent="0.2">
      <c r="A125" t="s">
        <v>293</v>
      </c>
      <c r="B125" t="s">
        <v>137</v>
      </c>
      <c r="C125">
        <v>2275</v>
      </c>
      <c r="D125">
        <v>4</v>
      </c>
      <c r="E125">
        <v>4550</v>
      </c>
    </row>
    <row r="126" spans="1:5" x14ac:dyDescent="0.2">
      <c r="A126" t="s">
        <v>294</v>
      </c>
      <c r="B126" t="s">
        <v>138</v>
      </c>
      <c r="C126">
        <v>2387</v>
      </c>
      <c r="D126">
        <v>2</v>
      </c>
      <c r="E126">
        <v>4774</v>
      </c>
    </row>
    <row r="127" spans="1:5" x14ac:dyDescent="0.2">
      <c r="A127" t="s">
        <v>295</v>
      </c>
      <c r="B127" t="s">
        <v>139</v>
      </c>
      <c r="C127">
        <v>4250</v>
      </c>
      <c r="D127">
        <v>2</v>
      </c>
      <c r="E127">
        <v>8500</v>
      </c>
    </row>
    <row r="128" spans="1:5" x14ac:dyDescent="0.2">
      <c r="A128" t="s">
        <v>296</v>
      </c>
      <c r="B128" t="s">
        <v>140</v>
      </c>
      <c r="C128">
        <v>4250</v>
      </c>
      <c r="D128">
        <v>2</v>
      </c>
      <c r="E128">
        <v>8500</v>
      </c>
    </row>
    <row r="129" spans="1:5" x14ac:dyDescent="0.2">
      <c r="A129" t="s">
        <v>297</v>
      </c>
      <c r="B129" t="s">
        <v>141</v>
      </c>
      <c r="C129">
        <v>4500</v>
      </c>
      <c r="D129">
        <v>3</v>
      </c>
      <c r="E129">
        <v>9000</v>
      </c>
    </row>
    <row r="130" spans="1:5" x14ac:dyDescent="0.2">
      <c r="A130" t="s">
        <v>298</v>
      </c>
      <c r="B130" t="s">
        <v>142</v>
      </c>
      <c r="C130">
        <v>3750</v>
      </c>
      <c r="D130">
        <v>1</v>
      </c>
      <c r="E130">
        <v>7500</v>
      </c>
    </row>
    <row r="131" spans="1:5" x14ac:dyDescent="0.2">
      <c r="A131" t="s">
        <v>299</v>
      </c>
      <c r="B131" t="s">
        <v>143</v>
      </c>
      <c r="C131">
        <v>4250</v>
      </c>
      <c r="D131">
        <v>3</v>
      </c>
      <c r="E131">
        <v>8500</v>
      </c>
    </row>
    <row r="132" spans="1:5" x14ac:dyDescent="0.2">
      <c r="A132" t="s">
        <v>300</v>
      </c>
      <c r="B132" t="s">
        <v>144</v>
      </c>
      <c r="C132">
        <v>2500</v>
      </c>
      <c r="D132">
        <v>8</v>
      </c>
      <c r="E132">
        <v>7500</v>
      </c>
    </row>
    <row r="133" spans="1:5" x14ac:dyDescent="0.2">
      <c r="A133" t="s">
        <v>301</v>
      </c>
      <c r="B133" t="s">
        <v>145</v>
      </c>
      <c r="C133">
        <v>3750</v>
      </c>
      <c r="D133">
        <v>4</v>
      </c>
      <c r="E133">
        <v>7500</v>
      </c>
    </row>
    <row r="134" spans="1:5" x14ac:dyDescent="0.2">
      <c r="A134" t="s">
        <v>302</v>
      </c>
      <c r="B134" t="s">
        <v>146</v>
      </c>
      <c r="C134">
        <v>4000</v>
      </c>
      <c r="D134">
        <v>2</v>
      </c>
      <c r="E134">
        <v>8000</v>
      </c>
    </row>
    <row r="135" spans="1:5" x14ac:dyDescent="0.2">
      <c r="A135" t="s">
        <v>303</v>
      </c>
      <c r="B135" t="s">
        <v>147</v>
      </c>
      <c r="C135">
        <v>1000</v>
      </c>
      <c r="D135">
        <v>6</v>
      </c>
      <c r="E135">
        <v>2000</v>
      </c>
    </row>
    <row r="136" spans="1:5" x14ac:dyDescent="0.2">
      <c r="A136" t="s">
        <v>304</v>
      </c>
      <c r="B136" t="s">
        <v>148</v>
      </c>
      <c r="C136">
        <v>1250</v>
      </c>
      <c r="D136">
        <v>33</v>
      </c>
      <c r="E136">
        <v>2500</v>
      </c>
    </row>
    <row r="137" spans="1:5" x14ac:dyDescent="0.2">
      <c r="A137" t="s">
        <v>305</v>
      </c>
      <c r="B137" t="s">
        <v>149</v>
      </c>
      <c r="C137">
        <v>1250</v>
      </c>
      <c r="D137">
        <v>6</v>
      </c>
      <c r="E137">
        <v>2500</v>
      </c>
    </row>
    <row r="138" spans="1:5" x14ac:dyDescent="0.2">
      <c r="A138" t="s">
        <v>306</v>
      </c>
      <c r="B138" t="s">
        <v>150</v>
      </c>
      <c r="C138">
        <v>2500</v>
      </c>
      <c r="D138">
        <v>2</v>
      </c>
      <c r="E138">
        <v>5000</v>
      </c>
    </row>
    <row r="139" spans="1:5" x14ac:dyDescent="0.2">
      <c r="A139" t="s">
        <v>307</v>
      </c>
      <c r="B139" t="s">
        <v>151</v>
      </c>
      <c r="C139">
        <v>4250</v>
      </c>
      <c r="D139">
        <v>2</v>
      </c>
      <c r="E139">
        <v>8500</v>
      </c>
    </row>
    <row r="140" spans="1:5" x14ac:dyDescent="0.2">
      <c r="A140" t="s">
        <v>308</v>
      </c>
      <c r="B140" t="s">
        <v>152</v>
      </c>
      <c r="C140">
        <v>1507</v>
      </c>
      <c r="D140">
        <v>78</v>
      </c>
      <c r="E140">
        <v>3000</v>
      </c>
    </row>
    <row r="141" spans="1:5" x14ac:dyDescent="0.2">
      <c r="A141" t="s">
        <v>309</v>
      </c>
      <c r="B141" t="s">
        <v>153</v>
      </c>
      <c r="C141">
        <v>1000</v>
      </c>
      <c r="D141">
        <v>2</v>
      </c>
      <c r="E141">
        <v>2000</v>
      </c>
    </row>
    <row r="142" spans="1:5" x14ac:dyDescent="0.2">
      <c r="A142" t="s">
        <v>310</v>
      </c>
      <c r="B142" t="s">
        <v>154</v>
      </c>
      <c r="C142">
        <v>3290</v>
      </c>
      <c r="D142">
        <v>3</v>
      </c>
      <c r="E142">
        <v>6580</v>
      </c>
    </row>
    <row r="143" spans="1:5" x14ac:dyDescent="0.2">
      <c r="A143" t="s">
        <v>311</v>
      </c>
      <c r="B143" t="s">
        <v>155</v>
      </c>
      <c r="C143">
        <v>3500</v>
      </c>
      <c r="D143">
        <v>3</v>
      </c>
      <c r="E143">
        <v>7000</v>
      </c>
    </row>
    <row r="144" spans="1:5" x14ac:dyDescent="0.2">
      <c r="A144" t="s">
        <v>312</v>
      </c>
      <c r="B144" t="s">
        <v>156</v>
      </c>
      <c r="C144">
        <v>4000</v>
      </c>
      <c r="D144">
        <v>2</v>
      </c>
      <c r="E144">
        <v>8000</v>
      </c>
    </row>
    <row r="145" spans="1:5" x14ac:dyDescent="0.2">
      <c r="A145" t="s">
        <v>313</v>
      </c>
      <c r="B145" t="s">
        <v>157</v>
      </c>
      <c r="C145">
        <v>4501</v>
      </c>
      <c r="D145">
        <v>4</v>
      </c>
      <c r="E145">
        <v>9002</v>
      </c>
    </row>
    <row r="146" spans="1:5" x14ac:dyDescent="0.2">
      <c r="A146" t="s">
        <v>314</v>
      </c>
      <c r="B146" t="s">
        <v>158</v>
      </c>
      <c r="C146">
        <v>4340</v>
      </c>
      <c r="D146">
        <v>4</v>
      </c>
      <c r="E146">
        <v>8480</v>
      </c>
    </row>
    <row r="147" spans="1:5" x14ac:dyDescent="0.2">
      <c r="A147" t="s">
        <v>315</v>
      </c>
      <c r="B147" t="s">
        <v>159</v>
      </c>
      <c r="C147">
        <v>3250</v>
      </c>
      <c r="D147">
        <v>1</v>
      </c>
      <c r="E147">
        <v>6500</v>
      </c>
    </row>
    <row r="148" spans="1:5" x14ac:dyDescent="0.2">
      <c r="A148" t="s">
        <v>316</v>
      </c>
      <c r="B148" t="s">
        <v>160</v>
      </c>
      <c r="C148">
        <v>3000</v>
      </c>
      <c r="D148">
        <v>1</v>
      </c>
      <c r="E148">
        <v>6000</v>
      </c>
    </row>
    <row r="149" spans="1:5" x14ac:dyDescent="0.2">
      <c r="A149" t="s">
        <v>317</v>
      </c>
      <c r="B149" t="s">
        <v>161</v>
      </c>
      <c r="C149">
        <v>4250</v>
      </c>
      <c r="D149">
        <v>2</v>
      </c>
      <c r="E149">
        <v>8500</v>
      </c>
    </row>
    <row r="150" spans="1:5" x14ac:dyDescent="0.2">
      <c r="A150" t="s">
        <v>318</v>
      </c>
      <c r="B150" t="s">
        <v>162</v>
      </c>
      <c r="C150">
        <v>3199</v>
      </c>
      <c r="D150">
        <v>2</v>
      </c>
      <c r="E150">
        <v>6398</v>
      </c>
    </row>
    <row r="151" spans="1:5" x14ac:dyDescent="0.2">
      <c r="A151" t="s">
        <v>319</v>
      </c>
      <c r="B151" t="s">
        <v>163</v>
      </c>
      <c r="C151">
        <v>3290</v>
      </c>
      <c r="D151">
        <v>4</v>
      </c>
      <c r="E151">
        <v>6580</v>
      </c>
    </row>
    <row r="152" spans="1:5" x14ac:dyDescent="0.2">
      <c r="A152" t="s">
        <v>320</v>
      </c>
      <c r="B152" t="s">
        <v>164</v>
      </c>
      <c r="C152">
        <v>3000</v>
      </c>
      <c r="D152">
        <v>1</v>
      </c>
      <c r="E152">
        <v>6000</v>
      </c>
    </row>
    <row r="153" spans="1:5" s="2" customFormat="1" x14ac:dyDescent="0.2">
      <c r="A153" s="2" t="s">
        <v>321</v>
      </c>
      <c r="B153" s="2" t="s">
        <v>165</v>
      </c>
      <c r="C153" s="2">
        <v>4501</v>
      </c>
      <c r="D153" s="2">
        <v>4</v>
      </c>
      <c r="E153" s="2">
        <v>9002</v>
      </c>
    </row>
    <row r="154" spans="1:5" x14ac:dyDescent="0.2">
      <c r="A154" t="s">
        <v>322</v>
      </c>
      <c r="B154" t="s">
        <v>166</v>
      </c>
      <c r="C154">
        <v>5460</v>
      </c>
      <c r="D154">
        <v>4</v>
      </c>
      <c r="E154">
        <v>10920</v>
      </c>
    </row>
    <row r="155" spans="1:5" x14ac:dyDescent="0.2">
      <c r="A155" t="s">
        <v>323</v>
      </c>
      <c r="B155" t="s">
        <v>167</v>
      </c>
      <c r="C155">
        <v>5880</v>
      </c>
      <c r="D155">
        <v>4</v>
      </c>
      <c r="E155">
        <v>11760</v>
      </c>
    </row>
    <row r="156" spans="1:5" x14ac:dyDescent="0.2">
      <c r="A156" t="s">
        <v>324</v>
      </c>
      <c r="B156" t="s">
        <v>168</v>
      </c>
      <c r="C156">
        <v>750</v>
      </c>
      <c r="D156">
        <v>13</v>
      </c>
      <c r="E156">
        <v>1500</v>
      </c>
    </row>
    <row r="157" spans="1:5" x14ac:dyDescent="0.2">
      <c r="A157" t="s">
        <v>325</v>
      </c>
      <c r="B157" t="s">
        <v>169</v>
      </c>
      <c r="C157">
        <v>3750</v>
      </c>
      <c r="D157">
        <v>1</v>
      </c>
      <c r="E157">
        <v>7500</v>
      </c>
    </row>
    <row r="158" spans="1:5" x14ac:dyDescent="0.2">
      <c r="A158" t="s">
        <v>326</v>
      </c>
      <c r="B158" t="s">
        <v>170</v>
      </c>
      <c r="C158">
        <v>4000</v>
      </c>
      <c r="D158">
        <v>3</v>
      </c>
      <c r="E158">
        <v>8000</v>
      </c>
    </row>
    <row r="159" spans="1:5" x14ac:dyDescent="0.2">
      <c r="A159" t="s">
        <v>327</v>
      </c>
      <c r="B159" t="s">
        <v>171</v>
      </c>
      <c r="C159">
        <v>3250</v>
      </c>
      <c r="D159">
        <v>1</v>
      </c>
      <c r="E159">
        <v>6500</v>
      </c>
    </row>
    <row r="160" spans="1:5" x14ac:dyDescent="0.2">
      <c r="A160" t="s">
        <v>328</v>
      </c>
      <c r="B160" t="s">
        <v>172</v>
      </c>
      <c r="C160">
        <v>2250</v>
      </c>
      <c r="D160">
        <v>1</v>
      </c>
      <c r="E160">
        <v>4500</v>
      </c>
    </row>
    <row r="161" spans="1:5" x14ac:dyDescent="0.2">
      <c r="A161" t="s">
        <v>331</v>
      </c>
      <c r="B161" t="s">
        <v>332</v>
      </c>
      <c r="C161">
        <v>167</v>
      </c>
      <c r="D161">
        <v>20</v>
      </c>
      <c r="E161">
        <v>334</v>
      </c>
    </row>
    <row r="162" spans="1:5" x14ac:dyDescent="0.2">
      <c r="A162" t="s">
        <v>333</v>
      </c>
      <c r="B162" t="s">
        <v>334</v>
      </c>
      <c r="C162">
        <v>4500</v>
      </c>
      <c r="D162">
        <v>2</v>
      </c>
      <c r="E162">
        <v>5000</v>
      </c>
    </row>
    <row r="163" spans="1:5" x14ac:dyDescent="0.2">
      <c r="A163" t="s">
        <v>335</v>
      </c>
      <c r="B163" t="s">
        <v>336</v>
      </c>
      <c r="C163">
        <v>2500</v>
      </c>
      <c r="D163">
        <v>2</v>
      </c>
      <c r="E163">
        <v>3500</v>
      </c>
    </row>
    <row r="164" spans="1:5" x14ac:dyDescent="0.2">
      <c r="A164" t="s">
        <v>337</v>
      </c>
      <c r="B164" t="s">
        <v>338</v>
      </c>
      <c r="C164">
        <v>3500</v>
      </c>
      <c r="D164">
        <v>5</v>
      </c>
      <c r="E164">
        <v>4500</v>
      </c>
    </row>
    <row r="165" spans="1:5" s="2" customFormat="1" x14ac:dyDescent="0.2">
      <c r="A165" s="2" t="s">
        <v>339</v>
      </c>
      <c r="B165" s="2" t="s">
        <v>340</v>
      </c>
      <c r="C165" s="2">
        <v>4000</v>
      </c>
      <c r="D165" s="2">
        <v>1</v>
      </c>
      <c r="E165" s="2">
        <v>4500</v>
      </c>
    </row>
    <row r="166" spans="1:5" s="2" customFormat="1" x14ac:dyDescent="0.2">
      <c r="A166" s="2" t="s">
        <v>341</v>
      </c>
      <c r="B166" s="2" t="s">
        <v>342</v>
      </c>
      <c r="C166" s="2">
        <v>6000</v>
      </c>
      <c r="D166" s="2">
        <v>1</v>
      </c>
      <c r="E166" s="2">
        <v>7000</v>
      </c>
    </row>
    <row r="167" spans="1:5" s="2" customFormat="1" x14ac:dyDescent="0.2">
      <c r="A167" s="2" t="s">
        <v>343</v>
      </c>
      <c r="B167" s="2" t="s">
        <v>344</v>
      </c>
      <c r="C167" s="2">
        <v>2750</v>
      </c>
      <c r="D167" s="2">
        <v>1</v>
      </c>
      <c r="E167" s="2">
        <v>5500</v>
      </c>
    </row>
    <row r="168" spans="1:5" x14ac:dyDescent="0.2">
      <c r="A168" s="2" t="s">
        <v>345</v>
      </c>
      <c r="B168" s="2" t="s">
        <v>346</v>
      </c>
      <c r="C168" s="2">
        <v>3250</v>
      </c>
      <c r="D168" s="2">
        <v>1</v>
      </c>
      <c r="E168" s="2">
        <v>6500</v>
      </c>
    </row>
    <row r="169" spans="1:5" s="3" customFormat="1" x14ac:dyDescent="0.2">
      <c r="A169" s="3" t="s">
        <v>348</v>
      </c>
      <c r="B169" s="3" t="s">
        <v>349</v>
      </c>
      <c r="C169" s="3">
        <v>2200</v>
      </c>
      <c r="D169" s="3">
        <v>8</v>
      </c>
      <c r="E169" s="3">
        <v>3000</v>
      </c>
    </row>
  </sheetData>
  <pageMargins left="0.75" right="0.75" top="1" bottom="1" header="0.5" footer="0.5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7"/>
  <sheetViews>
    <sheetView topLeftCell="A205" workbookViewId="0">
      <selection activeCell="E2" sqref="E2:E214"/>
    </sheetView>
  </sheetViews>
  <sheetFormatPr defaultColWidth="9.14453125" defaultRowHeight="15" x14ac:dyDescent="0.2"/>
  <cols>
    <col min="6" max="6" width="12.375" customWidth="1"/>
    <col min="7" max="7" width="12.9140625" customWidth="1"/>
  </cols>
  <sheetData>
    <row r="1" spans="1:7" x14ac:dyDescent="0.2">
      <c r="A1" t="s">
        <v>7</v>
      </c>
      <c r="B1" t="s">
        <v>0</v>
      </c>
      <c r="C1" t="s">
        <v>8</v>
      </c>
      <c r="D1" t="s">
        <v>9</v>
      </c>
      <c r="E1" t="s">
        <v>330</v>
      </c>
      <c r="F1" t="s">
        <v>10</v>
      </c>
      <c r="G1" t="s">
        <v>11</v>
      </c>
    </row>
    <row r="2" spans="1:7" x14ac:dyDescent="0.2">
      <c r="A2" s="1">
        <v>45748</v>
      </c>
      <c r="B2" t="s">
        <v>186</v>
      </c>
      <c r="C2">
        <v>10</v>
      </c>
      <c r="D2">
        <v>1500</v>
      </c>
      <c r="E2">
        <f>C2*D2</f>
        <v>15000</v>
      </c>
      <c r="F2">
        <f>D2 - VLOOKUP(B2,Articles!A:D,3,FALSE)</f>
        <v>750</v>
      </c>
      <c r="G2">
        <f>F2 * C2</f>
        <v>7500</v>
      </c>
    </row>
    <row r="3" spans="1:7" x14ac:dyDescent="0.2">
      <c r="A3" s="1">
        <v>45748</v>
      </c>
      <c r="B3" t="s">
        <v>238</v>
      </c>
      <c r="C3">
        <v>1</v>
      </c>
      <c r="D3">
        <v>2000</v>
      </c>
      <c r="E3">
        <f t="shared" ref="E3:E93" si="0">C3*D3</f>
        <v>2000</v>
      </c>
      <c r="F3">
        <f>D3 - VLOOKUP(B3,Articles!A:D,3,FALSE)</f>
        <v>500</v>
      </c>
      <c r="G3">
        <f t="shared" ref="G3:G66" si="1">F3 * C3</f>
        <v>500</v>
      </c>
    </row>
    <row r="4" spans="1:7" x14ac:dyDescent="0.2">
      <c r="A4" s="1">
        <v>45748</v>
      </c>
      <c r="B4" t="s">
        <v>189</v>
      </c>
      <c r="C4">
        <v>3</v>
      </c>
      <c r="D4">
        <v>1000</v>
      </c>
      <c r="E4">
        <f t="shared" si="0"/>
        <v>3000</v>
      </c>
      <c r="F4">
        <f>D4 - VLOOKUP(B4,Articles!A:D,3,FALSE)</f>
        <v>546.67000000000007</v>
      </c>
      <c r="G4">
        <f t="shared" si="1"/>
        <v>1640.0100000000002</v>
      </c>
    </row>
    <row r="5" spans="1:7" x14ac:dyDescent="0.2">
      <c r="A5" s="1">
        <v>45748</v>
      </c>
      <c r="B5" t="s">
        <v>289</v>
      </c>
      <c r="C5">
        <v>2</v>
      </c>
      <c r="D5">
        <v>9500</v>
      </c>
      <c r="E5">
        <f t="shared" si="0"/>
        <v>19000</v>
      </c>
      <c r="F5">
        <f>D5 - VLOOKUP(B5,Articles!A:D,3,FALSE)</f>
        <v>5125</v>
      </c>
      <c r="G5">
        <f t="shared" si="1"/>
        <v>10250</v>
      </c>
    </row>
    <row r="6" spans="1:7" x14ac:dyDescent="0.2">
      <c r="A6" s="1">
        <v>45748</v>
      </c>
      <c r="B6" t="s">
        <v>190</v>
      </c>
      <c r="C6">
        <v>5</v>
      </c>
      <c r="D6">
        <v>2000</v>
      </c>
      <c r="E6">
        <f t="shared" si="0"/>
        <v>10000</v>
      </c>
      <c r="F6">
        <f>D6 - VLOOKUP(B6,Articles!A:D,3,FALSE)</f>
        <v>1358.5</v>
      </c>
      <c r="G6">
        <f t="shared" si="1"/>
        <v>6792.5</v>
      </c>
    </row>
    <row r="7" spans="1:7" x14ac:dyDescent="0.2">
      <c r="A7" s="1">
        <v>45748</v>
      </c>
      <c r="B7" t="s">
        <v>200</v>
      </c>
      <c r="C7">
        <v>1</v>
      </c>
      <c r="D7">
        <v>8500</v>
      </c>
      <c r="E7">
        <f t="shared" si="0"/>
        <v>8500</v>
      </c>
      <c r="F7">
        <f>D7 - VLOOKUP(B7,Articles!A:D,3,FALSE)</f>
        <v>4699</v>
      </c>
      <c r="G7">
        <f t="shared" si="1"/>
        <v>4699</v>
      </c>
    </row>
    <row r="8" spans="1:7" x14ac:dyDescent="0.2">
      <c r="A8" s="1">
        <v>45748</v>
      </c>
      <c r="B8" t="s">
        <v>227</v>
      </c>
      <c r="C8">
        <v>2</v>
      </c>
      <c r="D8">
        <v>6500</v>
      </c>
      <c r="E8">
        <f t="shared" si="0"/>
        <v>13000</v>
      </c>
      <c r="F8">
        <f>D8 - VLOOKUP(B8,Articles!A:D,3,FALSE)</f>
        <v>3336</v>
      </c>
      <c r="G8">
        <f t="shared" si="1"/>
        <v>6672</v>
      </c>
    </row>
    <row r="9" spans="1:7" x14ac:dyDescent="0.2">
      <c r="A9" s="1">
        <v>45748</v>
      </c>
      <c r="B9" t="s">
        <v>229</v>
      </c>
      <c r="C9">
        <v>1</v>
      </c>
      <c r="D9">
        <v>8500</v>
      </c>
      <c r="E9">
        <f t="shared" si="0"/>
        <v>8500</v>
      </c>
      <c r="F9">
        <f>D9 - VLOOKUP(B9,Articles!A:D,3,FALSE)</f>
        <v>4468</v>
      </c>
      <c r="G9">
        <f t="shared" si="1"/>
        <v>4468</v>
      </c>
    </row>
    <row r="10" spans="1:7" x14ac:dyDescent="0.2">
      <c r="A10" s="1">
        <v>45748</v>
      </c>
      <c r="B10" t="s">
        <v>321</v>
      </c>
      <c r="C10">
        <v>1</v>
      </c>
      <c r="D10">
        <v>8500</v>
      </c>
      <c r="E10">
        <f t="shared" si="0"/>
        <v>8500</v>
      </c>
      <c r="F10">
        <f>D10 - VLOOKUP(B10,Articles!A:D,3,FALSE)</f>
        <v>3999</v>
      </c>
      <c r="G10">
        <f t="shared" si="1"/>
        <v>3999</v>
      </c>
    </row>
    <row r="11" spans="1:7" x14ac:dyDescent="0.2">
      <c r="A11" s="1">
        <v>45748</v>
      </c>
      <c r="B11" t="s">
        <v>250</v>
      </c>
      <c r="C11">
        <v>2</v>
      </c>
      <c r="D11">
        <v>1000</v>
      </c>
      <c r="E11">
        <f t="shared" si="0"/>
        <v>2000</v>
      </c>
      <c r="F11">
        <f>D11 - VLOOKUP(B11,Articles!A:D,3,FALSE)</f>
        <v>500</v>
      </c>
      <c r="G11">
        <f t="shared" si="1"/>
        <v>1000</v>
      </c>
    </row>
    <row r="12" spans="1:7" x14ac:dyDescent="0.2">
      <c r="A12" s="1">
        <v>45748</v>
      </c>
      <c r="B12" t="s">
        <v>291</v>
      </c>
      <c r="C12">
        <v>1</v>
      </c>
      <c r="D12">
        <v>6500</v>
      </c>
      <c r="E12">
        <f t="shared" si="0"/>
        <v>6500</v>
      </c>
      <c r="F12">
        <f>D12 - VLOOKUP(B12,Articles!A:D,3,FALSE)</f>
        <v>3735</v>
      </c>
      <c r="G12">
        <f t="shared" si="1"/>
        <v>3735</v>
      </c>
    </row>
    <row r="13" spans="1:7" x14ac:dyDescent="0.2">
      <c r="A13" s="1">
        <v>45749</v>
      </c>
      <c r="B13" t="s">
        <v>308</v>
      </c>
      <c r="C13">
        <v>3</v>
      </c>
      <c r="D13">
        <v>3200</v>
      </c>
      <c r="E13">
        <f t="shared" si="0"/>
        <v>9600</v>
      </c>
      <c r="F13">
        <f>D13 - VLOOKUP(B13,Articles!A:D,3,FALSE)</f>
        <v>1693</v>
      </c>
      <c r="G13">
        <f t="shared" si="1"/>
        <v>5079</v>
      </c>
    </row>
    <row r="14" spans="1:7" x14ac:dyDescent="0.2">
      <c r="A14" s="1">
        <v>45749</v>
      </c>
      <c r="B14" t="s">
        <v>308</v>
      </c>
      <c r="C14">
        <v>1</v>
      </c>
      <c r="D14">
        <v>3500</v>
      </c>
      <c r="E14">
        <f t="shared" si="0"/>
        <v>3500</v>
      </c>
      <c r="F14">
        <f>D14 - VLOOKUP(B14,Articles!A:D,3,FALSE)</f>
        <v>1993</v>
      </c>
      <c r="G14">
        <f t="shared" si="1"/>
        <v>1993</v>
      </c>
    </row>
    <row r="15" spans="1:7" x14ac:dyDescent="0.2">
      <c r="A15" s="1">
        <v>45749</v>
      </c>
      <c r="B15" t="s">
        <v>200</v>
      </c>
      <c r="C15">
        <v>1</v>
      </c>
      <c r="D15">
        <v>7500</v>
      </c>
      <c r="E15">
        <f t="shared" si="0"/>
        <v>7500</v>
      </c>
      <c r="F15">
        <f>D15 - VLOOKUP(B15,Articles!A:D,3,FALSE)</f>
        <v>3699</v>
      </c>
      <c r="G15">
        <f t="shared" si="1"/>
        <v>3699</v>
      </c>
    </row>
    <row r="16" spans="1:7" x14ac:dyDescent="0.2">
      <c r="A16" s="1">
        <v>45749</v>
      </c>
      <c r="B16" t="s">
        <v>180</v>
      </c>
      <c r="C16">
        <v>1</v>
      </c>
      <c r="D16">
        <v>7500</v>
      </c>
      <c r="E16">
        <f t="shared" si="0"/>
        <v>7500</v>
      </c>
      <c r="F16">
        <f>D16 - VLOOKUP(B16,Articles!A:D,3,FALSE)</f>
        <v>4000</v>
      </c>
      <c r="G16">
        <f t="shared" si="1"/>
        <v>4000</v>
      </c>
    </row>
    <row r="17" spans="1:7" x14ac:dyDescent="0.2">
      <c r="A17" s="1">
        <v>45749</v>
      </c>
      <c r="B17" t="s">
        <v>182</v>
      </c>
      <c r="C17">
        <v>1</v>
      </c>
      <c r="D17">
        <v>8500</v>
      </c>
      <c r="E17">
        <f t="shared" si="0"/>
        <v>8500</v>
      </c>
      <c r="F17">
        <f>D17 - VLOOKUP(B17,Articles!A:D,3,FALSE)</f>
        <v>4370</v>
      </c>
      <c r="G17">
        <f t="shared" si="1"/>
        <v>4370</v>
      </c>
    </row>
    <row r="18" spans="1:7" x14ac:dyDescent="0.2">
      <c r="A18" s="1">
        <v>45749</v>
      </c>
      <c r="B18" t="s">
        <v>207</v>
      </c>
      <c r="C18">
        <v>1</v>
      </c>
      <c r="D18">
        <v>5000</v>
      </c>
      <c r="E18">
        <f t="shared" si="0"/>
        <v>5000</v>
      </c>
      <c r="F18">
        <f>D18 - VLOOKUP(B18,Articles!A:D,3,FALSE)</f>
        <v>2452</v>
      </c>
      <c r="G18">
        <f t="shared" si="1"/>
        <v>2452</v>
      </c>
    </row>
    <row r="19" spans="1:7" x14ac:dyDescent="0.2">
      <c r="A19" s="1">
        <v>45749</v>
      </c>
      <c r="B19" t="s">
        <v>238</v>
      </c>
      <c r="C19">
        <v>3</v>
      </c>
      <c r="D19">
        <v>2000</v>
      </c>
      <c r="E19">
        <f t="shared" si="0"/>
        <v>6000</v>
      </c>
      <c r="F19">
        <f>D19 - VLOOKUP(B19,Articles!A:D,3,FALSE)</f>
        <v>500</v>
      </c>
      <c r="G19">
        <f t="shared" si="1"/>
        <v>1500</v>
      </c>
    </row>
    <row r="20" spans="1:7" x14ac:dyDescent="0.2">
      <c r="A20" s="1">
        <v>45749</v>
      </c>
      <c r="B20" t="s">
        <v>275</v>
      </c>
      <c r="C20">
        <v>2</v>
      </c>
      <c r="D20">
        <v>2000</v>
      </c>
      <c r="E20">
        <f t="shared" si="0"/>
        <v>4000</v>
      </c>
      <c r="F20">
        <f>D20 - VLOOKUP(B20,Articles!A:D,3,FALSE)</f>
        <v>750</v>
      </c>
      <c r="G20">
        <f t="shared" si="1"/>
        <v>1500</v>
      </c>
    </row>
    <row r="21" spans="1:7" x14ac:dyDescent="0.2">
      <c r="A21" s="1">
        <v>45749</v>
      </c>
      <c r="B21" t="s">
        <v>186</v>
      </c>
      <c r="C21">
        <v>1</v>
      </c>
      <c r="D21">
        <v>1400</v>
      </c>
      <c r="E21">
        <f t="shared" si="0"/>
        <v>1400</v>
      </c>
      <c r="F21">
        <f>D21 - VLOOKUP(B21,Articles!A:D,3,FALSE)</f>
        <v>650</v>
      </c>
      <c r="G21">
        <f t="shared" si="1"/>
        <v>650</v>
      </c>
    </row>
    <row r="22" spans="1:7" x14ac:dyDescent="0.2">
      <c r="A22" s="1">
        <v>45749</v>
      </c>
      <c r="B22" t="s">
        <v>189</v>
      </c>
      <c r="C22">
        <v>1</v>
      </c>
      <c r="D22">
        <v>1000</v>
      </c>
      <c r="E22">
        <f t="shared" si="0"/>
        <v>1000</v>
      </c>
      <c r="F22">
        <f>D22 - VLOOKUP(B22,Articles!A:D,3,FALSE)</f>
        <v>546.67000000000007</v>
      </c>
      <c r="G22">
        <f t="shared" si="1"/>
        <v>546.67000000000007</v>
      </c>
    </row>
    <row r="23" spans="1:7" x14ac:dyDescent="0.2">
      <c r="A23" s="1">
        <v>45749</v>
      </c>
      <c r="B23" t="s">
        <v>245</v>
      </c>
      <c r="C23">
        <v>1</v>
      </c>
      <c r="D23">
        <v>500</v>
      </c>
      <c r="E23">
        <f t="shared" si="0"/>
        <v>500</v>
      </c>
      <c r="F23">
        <f>D23 - VLOOKUP(B23,Articles!A:D,3,FALSE)</f>
        <v>125</v>
      </c>
      <c r="G23">
        <f t="shared" si="1"/>
        <v>125</v>
      </c>
    </row>
    <row r="24" spans="1:7" x14ac:dyDescent="0.2">
      <c r="A24" s="1">
        <v>45749</v>
      </c>
      <c r="B24" t="s">
        <v>250</v>
      </c>
      <c r="C24">
        <v>1</v>
      </c>
      <c r="D24">
        <v>1000</v>
      </c>
      <c r="E24">
        <f t="shared" si="0"/>
        <v>1000</v>
      </c>
      <c r="F24">
        <f>D24 - VLOOKUP(B24,Articles!A:D,3,FALSE)</f>
        <v>500</v>
      </c>
      <c r="G24">
        <f t="shared" si="1"/>
        <v>500</v>
      </c>
    </row>
    <row r="25" spans="1:7" x14ac:dyDescent="0.2">
      <c r="A25" s="1">
        <v>45749</v>
      </c>
      <c r="B25" t="s">
        <v>262</v>
      </c>
      <c r="C25">
        <v>2</v>
      </c>
      <c r="D25">
        <v>2000</v>
      </c>
      <c r="E25">
        <f t="shared" si="0"/>
        <v>4000</v>
      </c>
      <c r="F25">
        <f>D25 - VLOOKUP(B25,Articles!A:D,3,FALSE)</f>
        <v>1160</v>
      </c>
      <c r="G25">
        <f t="shared" si="1"/>
        <v>2320</v>
      </c>
    </row>
    <row r="26" spans="1:7" x14ac:dyDescent="0.2">
      <c r="A26" s="1"/>
      <c r="B26" t="s">
        <v>293</v>
      </c>
      <c r="C26">
        <v>1</v>
      </c>
      <c r="D26">
        <v>5000</v>
      </c>
      <c r="E26">
        <f t="shared" si="0"/>
        <v>5000</v>
      </c>
      <c r="F26">
        <f>D26 - VLOOKUP(B26,Articles!A:D,3,FALSE)</f>
        <v>2725</v>
      </c>
      <c r="G26">
        <f t="shared" si="1"/>
        <v>2725</v>
      </c>
    </row>
    <row r="27" spans="1:7" x14ac:dyDescent="0.2">
      <c r="A27" s="1"/>
      <c r="B27" t="s">
        <v>309</v>
      </c>
      <c r="C27">
        <v>1</v>
      </c>
      <c r="D27">
        <v>2000</v>
      </c>
      <c r="E27">
        <f t="shared" si="0"/>
        <v>2000</v>
      </c>
      <c r="F27">
        <f>D27 - VLOOKUP(B27,Articles!A:D,3,FALSE)</f>
        <v>1000</v>
      </c>
      <c r="G27">
        <f t="shared" si="1"/>
        <v>1000</v>
      </c>
    </row>
    <row r="28" spans="1:7" x14ac:dyDescent="0.2">
      <c r="B28" t="s">
        <v>291</v>
      </c>
      <c r="C28">
        <v>1</v>
      </c>
      <c r="D28">
        <v>6500</v>
      </c>
      <c r="E28">
        <f t="shared" si="0"/>
        <v>6500</v>
      </c>
      <c r="F28">
        <f>D28 - VLOOKUP(B28,Articles!A:D,3,FALSE)</f>
        <v>3735</v>
      </c>
      <c r="G28">
        <f t="shared" si="1"/>
        <v>3735</v>
      </c>
    </row>
    <row r="29" spans="1:7" x14ac:dyDescent="0.2">
      <c r="B29" t="s">
        <v>331</v>
      </c>
      <c r="C29">
        <v>6</v>
      </c>
      <c r="D29">
        <v>334</v>
      </c>
      <c r="E29">
        <f t="shared" si="0"/>
        <v>2004</v>
      </c>
      <c r="F29">
        <f>D29 - VLOOKUP(B29,Articles!A:D,3,FALSE)</f>
        <v>167</v>
      </c>
      <c r="G29">
        <f t="shared" si="1"/>
        <v>1002</v>
      </c>
    </row>
    <row r="30" spans="1:7" x14ac:dyDescent="0.2">
      <c r="B30" t="s">
        <v>333</v>
      </c>
      <c r="C30">
        <v>1</v>
      </c>
      <c r="D30">
        <v>5000</v>
      </c>
      <c r="E30">
        <f t="shared" si="0"/>
        <v>5000</v>
      </c>
      <c r="F30">
        <f>D30 - VLOOKUP(B30,Articles!A:D,3,FALSE)</f>
        <v>500</v>
      </c>
      <c r="G30">
        <f t="shared" si="1"/>
        <v>500</v>
      </c>
    </row>
    <row r="31" spans="1:7" x14ac:dyDescent="0.2">
      <c r="B31" t="s">
        <v>335</v>
      </c>
      <c r="C31">
        <v>1</v>
      </c>
      <c r="D31">
        <v>3500</v>
      </c>
      <c r="E31">
        <f t="shared" si="0"/>
        <v>3500</v>
      </c>
      <c r="F31">
        <f>D31 - VLOOKUP(B31,Articles!A:D,3,FALSE)</f>
        <v>1000</v>
      </c>
      <c r="G31">
        <f t="shared" si="1"/>
        <v>1000</v>
      </c>
    </row>
    <row r="32" spans="1:7" x14ac:dyDescent="0.2">
      <c r="B32" t="s">
        <v>194</v>
      </c>
      <c r="C32">
        <v>1</v>
      </c>
      <c r="D32">
        <v>600</v>
      </c>
      <c r="E32">
        <f t="shared" si="0"/>
        <v>600</v>
      </c>
      <c r="F32">
        <f>D32 - VLOOKUP(B32,Articles!A:D,3,FALSE)</f>
        <v>321.5</v>
      </c>
      <c r="G32">
        <f t="shared" si="1"/>
        <v>321.5</v>
      </c>
    </row>
    <row r="33" spans="2:7" x14ac:dyDescent="0.2">
      <c r="B33" t="s">
        <v>289</v>
      </c>
      <c r="C33">
        <v>1</v>
      </c>
      <c r="D33">
        <v>8500</v>
      </c>
      <c r="E33">
        <f t="shared" si="0"/>
        <v>8500</v>
      </c>
      <c r="F33">
        <f>D33 - VLOOKUP(B33,Articles!A:D,3,FALSE)</f>
        <v>4125</v>
      </c>
      <c r="G33">
        <f t="shared" si="1"/>
        <v>4125</v>
      </c>
    </row>
    <row r="34" spans="2:7" x14ac:dyDescent="0.2">
      <c r="B34" t="s">
        <v>189</v>
      </c>
      <c r="C34">
        <v>1</v>
      </c>
      <c r="D34">
        <v>1000</v>
      </c>
      <c r="E34">
        <f t="shared" si="0"/>
        <v>1000</v>
      </c>
      <c r="F34">
        <f>D34 - VLOOKUP(B34,Articles!A:D,3,FALSE)</f>
        <v>546.67000000000007</v>
      </c>
      <c r="G34">
        <f t="shared" si="1"/>
        <v>546.67000000000007</v>
      </c>
    </row>
    <row r="35" spans="2:7" x14ac:dyDescent="0.2">
      <c r="B35" t="s">
        <v>197</v>
      </c>
      <c r="C35">
        <v>1</v>
      </c>
      <c r="D35">
        <v>3500</v>
      </c>
      <c r="E35">
        <f t="shared" si="0"/>
        <v>3500</v>
      </c>
      <c r="F35">
        <f>D35 - VLOOKUP(B35,Articles!A:D,3,FALSE)</f>
        <v>1750</v>
      </c>
      <c r="G35">
        <f t="shared" si="1"/>
        <v>1750</v>
      </c>
    </row>
    <row r="36" spans="2:7" x14ac:dyDescent="0.2">
      <c r="B36" t="s">
        <v>278</v>
      </c>
      <c r="C36">
        <v>1</v>
      </c>
      <c r="D36">
        <v>5500</v>
      </c>
      <c r="E36">
        <f t="shared" si="0"/>
        <v>5500</v>
      </c>
      <c r="F36">
        <f>D36 - VLOOKUP(B36,Articles!A:D,3,FALSE)</f>
        <v>2945</v>
      </c>
      <c r="G36">
        <f t="shared" si="1"/>
        <v>2945</v>
      </c>
    </row>
    <row r="37" spans="2:7" x14ac:dyDescent="0.2">
      <c r="B37" t="s">
        <v>184</v>
      </c>
      <c r="C37">
        <v>1</v>
      </c>
      <c r="D37">
        <v>8000</v>
      </c>
      <c r="E37">
        <f t="shared" si="0"/>
        <v>8000</v>
      </c>
      <c r="F37">
        <f>D37 - VLOOKUP(B37,Articles!A:D,3,FALSE)</f>
        <v>4260</v>
      </c>
      <c r="G37">
        <f t="shared" si="1"/>
        <v>4260</v>
      </c>
    </row>
    <row r="38" spans="2:7" x14ac:dyDescent="0.2">
      <c r="B38" t="s">
        <v>229</v>
      </c>
      <c r="C38">
        <v>1</v>
      </c>
      <c r="D38">
        <v>8000</v>
      </c>
      <c r="E38">
        <f t="shared" si="0"/>
        <v>8000</v>
      </c>
      <c r="F38">
        <f>D38 - VLOOKUP(B38,Articles!A:D,3,FALSE)</f>
        <v>3968</v>
      </c>
      <c r="G38">
        <f t="shared" si="1"/>
        <v>3968</v>
      </c>
    </row>
    <row r="39" spans="2:7" x14ac:dyDescent="0.2">
      <c r="B39" t="s">
        <v>175</v>
      </c>
      <c r="C39">
        <v>1</v>
      </c>
      <c r="D39">
        <v>6000</v>
      </c>
      <c r="E39">
        <f t="shared" si="0"/>
        <v>6000</v>
      </c>
      <c r="F39">
        <f>D39 - VLOOKUP(B39,Articles!A:D,3,FALSE)</f>
        <v>3207</v>
      </c>
      <c r="G39">
        <f t="shared" si="1"/>
        <v>3207</v>
      </c>
    </row>
    <row r="40" spans="2:7" x14ac:dyDescent="0.2">
      <c r="B40" t="s">
        <v>277</v>
      </c>
      <c r="C40">
        <v>1</v>
      </c>
      <c r="D40">
        <v>6000</v>
      </c>
      <c r="E40">
        <f t="shared" si="0"/>
        <v>6000</v>
      </c>
      <c r="F40">
        <f>D40 - VLOOKUP(B40,Articles!A:D,3,FALSE)</f>
        <v>3235</v>
      </c>
      <c r="G40">
        <f t="shared" si="1"/>
        <v>3235</v>
      </c>
    </row>
    <row r="41" spans="2:7" x14ac:dyDescent="0.2">
      <c r="B41" t="s">
        <v>259</v>
      </c>
      <c r="C41">
        <v>1</v>
      </c>
      <c r="D41">
        <v>5000</v>
      </c>
      <c r="E41">
        <f t="shared" si="0"/>
        <v>5000</v>
      </c>
      <c r="F41">
        <f>D41 - VLOOKUP(B41,Articles!A:D,3,FALSE)</f>
        <v>2732</v>
      </c>
      <c r="G41">
        <f t="shared" si="1"/>
        <v>2732</v>
      </c>
    </row>
    <row r="42" spans="2:7" x14ac:dyDescent="0.2">
      <c r="B42" t="s">
        <v>174</v>
      </c>
      <c r="C42">
        <v>4</v>
      </c>
      <c r="D42">
        <v>6000</v>
      </c>
      <c r="E42">
        <f t="shared" si="0"/>
        <v>24000</v>
      </c>
      <c r="F42">
        <f>D42 - VLOOKUP(B42,Articles!A:D,3,FALSE)</f>
        <v>3172</v>
      </c>
      <c r="G42">
        <f t="shared" si="1"/>
        <v>12688</v>
      </c>
    </row>
    <row r="43" spans="2:7" x14ac:dyDescent="0.2">
      <c r="B43" t="s">
        <v>289</v>
      </c>
      <c r="C43">
        <v>2</v>
      </c>
      <c r="D43">
        <v>9000</v>
      </c>
      <c r="E43">
        <f t="shared" si="0"/>
        <v>18000</v>
      </c>
      <c r="F43">
        <f>D43 - VLOOKUP(B43,Articles!A:D,3,FALSE)</f>
        <v>4625</v>
      </c>
      <c r="G43">
        <f t="shared" si="1"/>
        <v>9250</v>
      </c>
    </row>
    <row r="44" spans="2:7" x14ac:dyDescent="0.2">
      <c r="B44" t="s">
        <v>285</v>
      </c>
      <c r="C44">
        <v>2</v>
      </c>
      <c r="D44">
        <v>5500</v>
      </c>
      <c r="E44">
        <f t="shared" si="0"/>
        <v>11000</v>
      </c>
      <c r="F44">
        <f>D44 - VLOOKUP(B44,Articles!A:D,3,FALSE)</f>
        <v>2805</v>
      </c>
      <c r="G44">
        <f t="shared" si="1"/>
        <v>5610</v>
      </c>
    </row>
    <row r="45" spans="2:7" x14ac:dyDescent="0.2">
      <c r="B45" t="s">
        <v>267</v>
      </c>
      <c r="C45">
        <v>2</v>
      </c>
      <c r="D45">
        <v>9000</v>
      </c>
      <c r="E45">
        <f t="shared" si="0"/>
        <v>18000</v>
      </c>
      <c r="F45">
        <f>D45 - VLOOKUP(B45,Articles!A:D,3,FALSE)</f>
        <v>4492</v>
      </c>
      <c r="G45">
        <f t="shared" si="1"/>
        <v>8984</v>
      </c>
    </row>
    <row r="46" spans="2:7" x14ac:dyDescent="0.2">
      <c r="B46" t="s">
        <v>321</v>
      </c>
      <c r="C46">
        <v>2</v>
      </c>
      <c r="D46">
        <v>9000</v>
      </c>
      <c r="E46">
        <f t="shared" si="0"/>
        <v>18000</v>
      </c>
      <c r="F46">
        <f>D46 - VLOOKUP(B46,Articles!A:D,3,FALSE)</f>
        <v>4499</v>
      </c>
      <c r="G46">
        <f t="shared" si="1"/>
        <v>8998</v>
      </c>
    </row>
    <row r="47" spans="2:7" x14ac:dyDescent="0.2">
      <c r="B47" t="s">
        <v>227</v>
      </c>
      <c r="C47">
        <v>2</v>
      </c>
      <c r="D47">
        <v>6000</v>
      </c>
      <c r="E47">
        <f t="shared" si="0"/>
        <v>12000</v>
      </c>
      <c r="F47">
        <f>D47 - VLOOKUP(B47,Articles!A:D,3,FALSE)</f>
        <v>2836</v>
      </c>
      <c r="G47">
        <f t="shared" si="1"/>
        <v>5672</v>
      </c>
    </row>
    <row r="48" spans="2:7" x14ac:dyDescent="0.2">
      <c r="B48" t="s">
        <v>314</v>
      </c>
      <c r="C48">
        <v>2</v>
      </c>
      <c r="D48">
        <v>8500</v>
      </c>
      <c r="E48">
        <f t="shared" si="0"/>
        <v>17000</v>
      </c>
      <c r="F48">
        <f>D48 - VLOOKUP(B48,Articles!A:D,3,FALSE)</f>
        <v>4160</v>
      </c>
      <c r="G48">
        <f t="shared" si="1"/>
        <v>8320</v>
      </c>
    </row>
    <row r="49" spans="1:7" x14ac:dyDescent="0.2">
      <c r="B49" t="s">
        <v>256</v>
      </c>
      <c r="C49">
        <v>2</v>
      </c>
      <c r="D49">
        <v>7500</v>
      </c>
      <c r="E49">
        <f t="shared" si="0"/>
        <v>15000</v>
      </c>
      <c r="F49">
        <f>D49 - VLOOKUP(B49,Articles!A:D,3,FALSE)</f>
        <v>3825</v>
      </c>
      <c r="G49">
        <f t="shared" si="1"/>
        <v>7650</v>
      </c>
    </row>
    <row r="50" spans="1:7" x14ac:dyDescent="0.2">
      <c r="B50" t="s">
        <v>291</v>
      </c>
      <c r="C50">
        <v>2</v>
      </c>
      <c r="D50">
        <v>6000</v>
      </c>
      <c r="E50">
        <f t="shared" si="0"/>
        <v>12000</v>
      </c>
      <c r="F50">
        <f>D50 - VLOOKUP(B50,Articles!A:D,3,FALSE)</f>
        <v>3235</v>
      </c>
      <c r="G50">
        <f t="shared" si="1"/>
        <v>6470</v>
      </c>
    </row>
    <row r="51" spans="1:7" x14ac:dyDescent="0.2">
      <c r="B51" t="s">
        <v>209</v>
      </c>
      <c r="C51">
        <v>2</v>
      </c>
      <c r="D51">
        <v>6500</v>
      </c>
      <c r="E51">
        <f t="shared" si="0"/>
        <v>13000</v>
      </c>
      <c r="F51">
        <f>D51 - VLOOKUP(B51,Articles!A:D,3,FALSE)</f>
        <v>3609</v>
      </c>
      <c r="G51">
        <f t="shared" si="1"/>
        <v>7218</v>
      </c>
    </row>
    <row r="52" spans="1:7" x14ac:dyDescent="0.2">
      <c r="B52" t="s">
        <v>192</v>
      </c>
      <c r="C52">
        <v>2</v>
      </c>
      <c r="D52">
        <v>7000</v>
      </c>
      <c r="E52">
        <f t="shared" si="0"/>
        <v>14000</v>
      </c>
      <c r="F52">
        <f>D52 - VLOOKUP(B52,Articles!A:D,3,FALSE)</f>
        <v>3542</v>
      </c>
      <c r="G52">
        <f t="shared" si="1"/>
        <v>7084</v>
      </c>
    </row>
    <row r="53" spans="1:7" x14ac:dyDescent="0.2">
      <c r="B53" t="s">
        <v>189</v>
      </c>
      <c r="C53">
        <v>12</v>
      </c>
      <c r="D53">
        <v>1000</v>
      </c>
      <c r="E53">
        <f t="shared" si="0"/>
        <v>12000</v>
      </c>
      <c r="F53">
        <f>D53 - VLOOKUP(B53,Articles!A:D,3,FALSE)</f>
        <v>546.67000000000007</v>
      </c>
      <c r="G53">
        <f t="shared" si="1"/>
        <v>6560.0400000000009</v>
      </c>
    </row>
    <row r="54" spans="1:7" x14ac:dyDescent="0.2">
      <c r="A54" s="1">
        <v>45750</v>
      </c>
      <c r="B54" t="s">
        <v>179</v>
      </c>
      <c r="C54">
        <v>1</v>
      </c>
      <c r="D54">
        <v>8500</v>
      </c>
      <c r="E54">
        <f t="shared" si="0"/>
        <v>8500</v>
      </c>
      <c r="F54">
        <f>D54 - VLOOKUP(B54,Articles!A:D,3,FALSE)</f>
        <v>4000</v>
      </c>
      <c r="G54">
        <f t="shared" si="1"/>
        <v>4000</v>
      </c>
    </row>
    <row r="55" spans="1:7" x14ac:dyDescent="0.2">
      <c r="A55" s="1">
        <v>45750</v>
      </c>
      <c r="B55" t="s">
        <v>227</v>
      </c>
      <c r="C55">
        <v>1</v>
      </c>
      <c r="D55">
        <v>6000</v>
      </c>
      <c r="E55">
        <f t="shared" si="0"/>
        <v>6000</v>
      </c>
      <c r="F55">
        <f>D55 - VLOOKUP(B55,Articles!A:D,3,FALSE)</f>
        <v>2836</v>
      </c>
      <c r="G55">
        <f t="shared" si="1"/>
        <v>2836</v>
      </c>
    </row>
    <row r="56" spans="1:7" x14ac:dyDescent="0.2">
      <c r="A56" s="1">
        <v>45750</v>
      </c>
      <c r="B56" t="s">
        <v>229</v>
      </c>
      <c r="C56">
        <v>1</v>
      </c>
      <c r="D56">
        <v>8500</v>
      </c>
      <c r="E56">
        <f t="shared" si="0"/>
        <v>8500</v>
      </c>
      <c r="F56">
        <f>D56 - VLOOKUP(B56,Articles!A:D,3,FALSE)</f>
        <v>4468</v>
      </c>
      <c r="G56">
        <f t="shared" si="1"/>
        <v>4468</v>
      </c>
    </row>
    <row r="57" spans="1:7" x14ac:dyDescent="0.2">
      <c r="A57" s="1">
        <v>45750</v>
      </c>
      <c r="B57" t="s">
        <v>320</v>
      </c>
      <c r="C57">
        <v>1</v>
      </c>
      <c r="D57">
        <v>6000</v>
      </c>
      <c r="E57">
        <f t="shared" si="0"/>
        <v>6000</v>
      </c>
      <c r="F57">
        <f>D57 - VLOOKUP(B57,Articles!A:D,3,FALSE)</f>
        <v>3000</v>
      </c>
      <c r="G57">
        <f t="shared" si="1"/>
        <v>3000</v>
      </c>
    </row>
    <row r="58" spans="1:7" x14ac:dyDescent="0.2">
      <c r="A58" s="1">
        <v>45750</v>
      </c>
      <c r="B58" t="s">
        <v>250</v>
      </c>
      <c r="C58">
        <v>1</v>
      </c>
      <c r="D58">
        <v>1500</v>
      </c>
      <c r="E58">
        <f t="shared" si="0"/>
        <v>1500</v>
      </c>
      <c r="F58">
        <f>D58 - VLOOKUP(B58,Articles!A:D,3,FALSE)</f>
        <v>1000</v>
      </c>
      <c r="G58">
        <f t="shared" si="1"/>
        <v>1000</v>
      </c>
    </row>
    <row r="59" spans="1:7" x14ac:dyDescent="0.2">
      <c r="A59" s="1">
        <v>45750</v>
      </c>
      <c r="B59" t="s">
        <v>190</v>
      </c>
      <c r="C59">
        <v>1</v>
      </c>
      <c r="D59">
        <v>2000</v>
      </c>
      <c r="E59">
        <f t="shared" si="0"/>
        <v>2000</v>
      </c>
      <c r="F59">
        <f>D59 - VLOOKUP(B59,Articles!A:D,3,FALSE)</f>
        <v>1358.5</v>
      </c>
      <c r="G59">
        <f t="shared" si="1"/>
        <v>1358.5</v>
      </c>
    </row>
    <row r="60" spans="1:7" x14ac:dyDescent="0.2">
      <c r="B60" t="s">
        <v>195</v>
      </c>
      <c r="C60">
        <v>1</v>
      </c>
      <c r="D60">
        <v>1500</v>
      </c>
      <c r="E60">
        <f t="shared" si="0"/>
        <v>1500</v>
      </c>
      <c r="F60">
        <f>D60 - VLOOKUP(B60,Articles!A:D,3,FALSE)</f>
        <v>750</v>
      </c>
      <c r="G60">
        <f t="shared" si="1"/>
        <v>750</v>
      </c>
    </row>
    <row r="61" spans="1:7" x14ac:dyDescent="0.2">
      <c r="B61" t="s">
        <v>289</v>
      </c>
      <c r="C61">
        <v>1</v>
      </c>
      <c r="D61">
        <v>8500</v>
      </c>
      <c r="E61">
        <f t="shared" si="0"/>
        <v>8500</v>
      </c>
      <c r="F61">
        <f>D61 - VLOOKUP(B61,Articles!A:D,3,FALSE)</f>
        <v>4125</v>
      </c>
      <c r="G61">
        <f t="shared" si="1"/>
        <v>4125</v>
      </c>
    </row>
    <row r="62" spans="1:7" x14ac:dyDescent="0.2">
      <c r="B62" t="s">
        <v>173</v>
      </c>
      <c r="C62">
        <v>2</v>
      </c>
      <c r="D62">
        <v>1500</v>
      </c>
      <c r="E62">
        <f t="shared" si="0"/>
        <v>3000</v>
      </c>
      <c r="F62">
        <f>D62 - VLOOKUP(B62,Articles!A:D,3,FALSE)</f>
        <v>850</v>
      </c>
      <c r="G62">
        <f t="shared" si="1"/>
        <v>1700</v>
      </c>
    </row>
    <row r="63" spans="1:7" x14ac:dyDescent="0.2">
      <c r="B63" t="s">
        <v>174</v>
      </c>
      <c r="C63">
        <v>1</v>
      </c>
      <c r="D63">
        <v>6000</v>
      </c>
      <c r="E63">
        <f t="shared" si="0"/>
        <v>6000</v>
      </c>
      <c r="F63">
        <f>D63 - VLOOKUP(B63,Articles!A:D,3,FALSE)</f>
        <v>3172</v>
      </c>
      <c r="G63">
        <f t="shared" si="1"/>
        <v>3172</v>
      </c>
    </row>
    <row r="64" spans="1:7" x14ac:dyDescent="0.2">
      <c r="B64" t="s">
        <v>227</v>
      </c>
      <c r="C64">
        <v>1</v>
      </c>
      <c r="D64">
        <v>6500</v>
      </c>
      <c r="E64">
        <f t="shared" si="0"/>
        <v>6500</v>
      </c>
      <c r="F64">
        <f>D64 - VLOOKUP(B64,Articles!A:D,3,FALSE)</f>
        <v>3336</v>
      </c>
      <c r="G64">
        <f t="shared" si="1"/>
        <v>3336</v>
      </c>
    </row>
    <row r="65" spans="1:7" x14ac:dyDescent="0.2">
      <c r="B65" t="s">
        <v>274</v>
      </c>
      <c r="C65">
        <v>1</v>
      </c>
      <c r="D65">
        <v>6000</v>
      </c>
      <c r="E65">
        <f t="shared" si="0"/>
        <v>6000</v>
      </c>
      <c r="F65">
        <f>D65 - VLOOKUP(B65,Articles!A:D,3,FALSE)</f>
        <v>2955</v>
      </c>
      <c r="G65">
        <f t="shared" si="1"/>
        <v>2955</v>
      </c>
    </row>
    <row r="66" spans="1:7" x14ac:dyDescent="0.2">
      <c r="B66" t="s">
        <v>292</v>
      </c>
      <c r="C66">
        <v>1</v>
      </c>
      <c r="D66">
        <v>5500</v>
      </c>
      <c r="E66">
        <f t="shared" si="0"/>
        <v>5500</v>
      </c>
      <c r="F66">
        <f>D66 - VLOOKUP(B66,Articles!A:D,3,FALSE)</f>
        <v>2735</v>
      </c>
      <c r="G66">
        <f t="shared" si="1"/>
        <v>2735</v>
      </c>
    </row>
    <row r="67" spans="1:7" x14ac:dyDescent="0.2">
      <c r="B67" t="s">
        <v>176</v>
      </c>
      <c r="C67">
        <v>1</v>
      </c>
      <c r="D67">
        <v>6500</v>
      </c>
      <c r="E67">
        <f t="shared" si="0"/>
        <v>6500</v>
      </c>
      <c r="F67">
        <f>D67 - VLOOKUP(B67,Articles!A:D,3,FALSE)</f>
        <v>3161</v>
      </c>
      <c r="G67">
        <f t="shared" ref="G67:G130" si="2">F67 * C67</f>
        <v>3161</v>
      </c>
    </row>
    <row r="68" spans="1:7" x14ac:dyDescent="0.2">
      <c r="B68" t="s">
        <v>189</v>
      </c>
      <c r="C68">
        <v>5</v>
      </c>
      <c r="D68">
        <v>1000</v>
      </c>
      <c r="E68">
        <f t="shared" si="0"/>
        <v>5000</v>
      </c>
      <c r="F68">
        <f>D68 - VLOOKUP(B68,Articles!A:D,3,FALSE)</f>
        <v>546.67000000000007</v>
      </c>
      <c r="G68">
        <f t="shared" si="2"/>
        <v>2733.3500000000004</v>
      </c>
    </row>
    <row r="69" spans="1:7" x14ac:dyDescent="0.2">
      <c r="B69" t="s">
        <v>186</v>
      </c>
      <c r="C69">
        <v>2</v>
      </c>
      <c r="D69">
        <v>1500</v>
      </c>
      <c r="E69">
        <f t="shared" si="0"/>
        <v>3000</v>
      </c>
      <c r="F69">
        <f>D69 - VLOOKUP(B69,Articles!A:D,3,FALSE)</f>
        <v>750</v>
      </c>
      <c r="G69">
        <f t="shared" si="2"/>
        <v>1500</v>
      </c>
    </row>
    <row r="70" spans="1:7" x14ac:dyDescent="0.2">
      <c r="B70" t="s">
        <v>190</v>
      </c>
      <c r="C70">
        <v>2</v>
      </c>
      <c r="D70">
        <v>2000</v>
      </c>
      <c r="E70">
        <f t="shared" si="0"/>
        <v>4000</v>
      </c>
      <c r="F70">
        <f>D70 - VLOOKUP(B70,Articles!A:D,3,FALSE)</f>
        <v>1358.5</v>
      </c>
      <c r="G70">
        <f t="shared" si="2"/>
        <v>2717</v>
      </c>
    </row>
    <row r="71" spans="1:7" x14ac:dyDescent="0.2">
      <c r="B71" t="s">
        <v>259</v>
      </c>
      <c r="C71">
        <v>1</v>
      </c>
      <c r="D71">
        <v>5000</v>
      </c>
      <c r="E71">
        <f t="shared" si="0"/>
        <v>5000</v>
      </c>
      <c r="F71">
        <f>D71 - VLOOKUP(B71,Articles!A:D,3,FALSE)</f>
        <v>2732</v>
      </c>
      <c r="G71">
        <f t="shared" si="2"/>
        <v>2732</v>
      </c>
    </row>
    <row r="72" spans="1:7" x14ac:dyDescent="0.2">
      <c r="A72" s="1">
        <v>45751</v>
      </c>
      <c r="B72" t="s">
        <v>174</v>
      </c>
      <c r="C72">
        <v>1</v>
      </c>
      <c r="D72">
        <v>5000</v>
      </c>
      <c r="E72">
        <f t="shared" si="0"/>
        <v>5000</v>
      </c>
      <c r="F72">
        <f>D72 - VLOOKUP(B72,Articles!A:D,3,FALSE)</f>
        <v>2172</v>
      </c>
      <c r="G72">
        <f t="shared" si="2"/>
        <v>2172</v>
      </c>
    </row>
    <row r="73" spans="1:7" x14ac:dyDescent="0.2">
      <c r="A73" s="1">
        <v>45751</v>
      </c>
      <c r="B73" t="s">
        <v>227</v>
      </c>
      <c r="C73">
        <v>1</v>
      </c>
      <c r="D73">
        <v>5000</v>
      </c>
      <c r="E73">
        <f t="shared" si="0"/>
        <v>5000</v>
      </c>
      <c r="F73">
        <f>D73 - VLOOKUP(B73,Articles!A:D,3,FALSE)</f>
        <v>1836</v>
      </c>
      <c r="G73">
        <f t="shared" si="2"/>
        <v>1836</v>
      </c>
    </row>
    <row r="74" spans="1:7" x14ac:dyDescent="0.2">
      <c r="A74" s="1">
        <v>45751</v>
      </c>
      <c r="B74" t="s">
        <v>289</v>
      </c>
      <c r="C74">
        <v>1</v>
      </c>
      <c r="D74">
        <v>9500</v>
      </c>
      <c r="E74">
        <f t="shared" si="0"/>
        <v>9500</v>
      </c>
      <c r="F74">
        <f>D74 - VLOOKUP(B74,Articles!A:D,3,FALSE)</f>
        <v>5125</v>
      </c>
      <c r="G74">
        <f t="shared" si="2"/>
        <v>5125</v>
      </c>
    </row>
    <row r="75" spans="1:7" x14ac:dyDescent="0.2">
      <c r="A75" s="1">
        <v>45751</v>
      </c>
      <c r="B75" t="s">
        <v>189</v>
      </c>
      <c r="C75">
        <v>3</v>
      </c>
      <c r="D75">
        <v>1000</v>
      </c>
      <c r="E75">
        <f t="shared" si="0"/>
        <v>3000</v>
      </c>
      <c r="F75">
        <f>D75 - VLOOKUP(B75,Articles!A:D,3,FALSE)</f>
        <v>546.67000000000007</v>
      </c>
      <c r="G75">
        <f t="shared" si="2"/>
        <v>1640.0100000000002</v>
      </c>
    </row>
    <row r="76" spans="1:7" x14ac:dyDescent="0.2">
      <c r="A76" s="1">
        <v>45751</v>
      </c>
      <c r="B76" t="s">
        <v>274</v>
      </c>
      <c r="C76">
        <v>1</v>
      </c>
      <c r="D76">
        <v>6000</v>
      </c>
      <c r="E76">
        <f t="shared" si="0"/>
        <v>6000</v>
      </c>
      <c r="F76">
        <f>D76 - VLOOKUP(B76,Articles!A:D,3,FALSE)</f>
        <v>2955</v>
      </c>
      <c r="G76">
        <f t="shared" si="2"/>
        <v>2955</v>
      </c>
    </row>
    <row r="77" spans="1:7" x14ac:dyDescent="0.2">
      <c r="A77" s="1">
        <v>45751</v>
      </c>
      <c r="B77" t="s">
        <v>308</v>
      </c>
      <c r="C77">
        <v>1</v>
      </c>
      <c r="D77">
        <v>3000</v>
      </c>
      <c r="E77">
        <f t="shared" si="0"/>
        <v>3000</v>
      </c>
      <c r="F77">
        <f>D77 - VLOOKUP(B77,Articles!A:D,3,FALSE)</f>
        <v>1493</v>
      </c>
      <c r="G77">
        <f t="shared" si="2"/>
        <v>1493</v>
      </c>
    </row>
    <row r="78" spans="1:7" x14ac:dyDescent="0.2">
      <c r="B78" t="s">
        <v>258</v>
      </c>
      <c r="C78">
        <v>1</v>
      </c>
      <c r="D78">
        <v>1500</v>
      </c>
      <c r="E78">
        <f t="shared" si="0"/>
        <v>1500</v>
      </c>
      <c r="F78">
        <f>D78 - VLOOKUP(B78,Articles!A:D,3,FALSE)</f>
        <v>750</v>
      </c>
      <c r="G78">
        <f t="shared" si="2"/>
        <v>750</v>
      </c>
    </row>
    <row r="79" spans="1:7" x14ac:dyDescent="0.2">
      <c r="B79" t="s">
        <v>182</v>
      </c>
      <c r="C79">
        <v>1</v>
      </c>
      <c r="D79">
        <v>8500</v>
      </c>
      <c r="E79">
        <f t="shared" si="0"/>
        <v>8500</v>
      </c>
      <c r="F79">
        <f>D79 - VLOOKUP(B79,Articles!A:D,3,FALSE)</f>
        <v>4370</v>
      </c>
      <c r="G79">
        <f t="shared" si="2"/>
        <v>4370</v>
      </c>
    </row>
    <row r="80" spans="1:7" x14ac:dyDescent="0.2">
      <c r="B80" t="s">
        <v>180</v>
      </c>
      <c r="C80">
        <v>1</v>
      </c>
      <c r="D80">
        <v>7000</v>
      </c>
      <c r="E80">
        <f t="shared" si="0"/>
        <v>7000</v>
      </c>
      <c r="F80">
        <f>D80 - VLOOKUP(B80,Articles!A:D,3,FALSE)</f>
        <v>3500</v>
      </c>
      <c r="G80">
        <f t="shared" si="2"/>
        <v>3500</v>
      </c>
    </row>
    <row r="81" spans="1:7" x14ac:dyDescent="0.2">
      <c r="B81" t="s">
        <v>189</v>
      </c>
      <c r="C81">
        <v>4</v>
      </c>
      <c r="D81">
        <v>1000</v>
      </c>
      <c r="E81">
        <f t="shared" si="0"/>
        <v>4000</v>
      </c>
      <c r="F81">
        <f>D81 - VLOOKUP(B81,Articles!A:D,3,FALSE)</f>
        <v>546.67000000000007</v>
      </c>
      <c r="G81">
        <f t="shared" si="2"/>
        <v>2186.6800000000003</v>
      </c>
    </row>
    <row r="82" spans="1:7" x14ac:dyDescent="0.2">
      <c r="B82" t="s">
        <v>203</v>
      </c>
      <c r="C82">
        <v>1</v>
      </c>
      <c r="D82">
        <v>10000</v>
      </c>
      <c r="E82">
        <f t="shared" si="0"/>
        <v>10000</v>
      </c>
      <c r="F82">
        <f>D82 - VLOOKUP(B82,Articles!A:D,3,FALSE)</f>
        <v>4862</v>
      </c>
      <c r="G82">
        <f t="shared" si="2"/>
        <v>4862</v>
      </c>
    </row>
    <row r="83" spans="1:7" x14ac:dyDescent="0.2">
      <c r="B83" t="s">
        <v>4</v>
      </c>
      <c r="C83">
        <v>1</v>
      </c>
      <c r="D83">
        <v>6500</v>
      </c>
      <c r="E83">
        <f t="shared" si="0"/>
        <v>6500</v>
      </c>
      <c r="F83">
        <f>D83 - VLOOKUP(B83,Articles!A:D,3,FALSE)</f>
        <v>3000</v>
      </c>
      <c r="G83">
        <f t="shared" si="2"/>
        <v>3000</v>
      </c>
    </row>
    <row r="84" spans="1:7" x14ac:dyDescent="0.2">
      <c r="B84" t="s">
        <v>201</v>
      </c>
      <c r="C84">
        <v>1</v>
      </c>
      <c r="D84">
        <v>9000</v>
      </c>
      <c r="E84">
        <f t="shared" si="0"/>
        <v>9000</v>
      </c>
      <c r="F84">
        <f>D84 - VLOOKUP(B84,Articles!A:D,3,FALSE)</f>
        <v>4443</v>
      </c>
      <c r="G84">
        <f t="shared" si="2"/>
        <v>4443</v>
      </c>
    </row>
    <row r="85" spans="1:7" x14ac:dyDescent="0.2">
      <c r="B85" t="s">
        <v>173</v>
      </c>
      <c r="C85">
        <v>3</v>
      </c>
      <c r="D85">
        <v>1333</v>
      </c>
      <c r="E85">
        <f t="shared" si="0"/>
        <v>3999</v>
      </c>
      <c r="F85">
        <f>D85 - VLOOKUP(B85,Articles!A:D,3,FALSE)</f>
        <v>683</v>
      </c>
      <c r="G85">
        <f t="shared" si="2"/>
        <v>2049</v>
      </c>
    </row>
    <row r="86" spans="1:7" x14ac:dyDescent="0.2">
      <c r="B86" t="s">
        <v>190</v>
      </c>
      <c r="C86">
        <v>1</v>
      </c>
      <c r="D86">
        <v>2000</v>
      </c>
      <c r="E86">
        <f t="shared" si="0"/>
        <v>2000</v>
      </c>
      <c r="F86">
        <f>D86 - VLOOKUP(B86,Articles!A:D,3,FALSE)</f>
        <v>1358.5</v>
      </c>
      <c r="G86">
        <f t="shared" si="2"/>
        <v>1358.5</v>
      </c>
    </row>
    <row r="87" spans="1:7" x14ac:dyDescent="0.2">
      <c r="B87" t="s">
        <v>186</v>
      </c>
      <c r="C87">
        <v>5</v>
      </c>
      <c r="D87">
        <v>1500</v>
      </c>
      <c r="E87">
        <f t="shared" si="0"/>
        <v>7500</v>
      </c>
      <c r="F87">
        <f>D87 - VLOOKUP(B87,Articles!A:D,3,FALSE)</f>
        <v>750</v>
      </c>
      <c r="G87">
        <f t="shared" si="2"/>
        <v>3750</v>
      </c>
    </row>
    <row r="88" spans="1:7" x14ac:dyDescent="0.2">
      <c r="B88" t="s">
        <v>173</v>
      </c>
      <c r="C88">
        <v>1</v>
      </c>
      <c r="D88">
        <v>1300</v>
      </c>
      <c r="E88">
        <f t="shared" si="0"/>
        <v>1300</v>
      </c>
      <c r="F88">
        <f>D88 - VLOOKUP(B88,Articles!A:D,3,FALSE)</f>
        <v>650</v>
      </c>
      <c r="G88">
        <f t="shared" si="2"/>
        <v>650</v>
      </c>
    </row>
    <row r="89" spans="1:7" x14ac:dyDescent="0.2">
      <c r="B89" t="s">
        <v>311</v>
      </c>
      <c r="C89">
        <v>1</v>
      </c>
      <c r="D89">
        <v>7000</v>
      </c>
      <c r="E89">
        <f t="shared" si="0"/>
        <v>7000</v>
      </c>
      <c r="F89">
        <f>D89 - VLOOKUP(B89,Articles!A:D,3,FALSE)</f>
        <v>3500</v>
      </c>
      <c r="G89">
        <f t="shared" si="2"/>
        <v>3500</v>
      </c>
    </row>
    <row r="90" spans="1:7" x14ac:dyDescent="0.2">
      <c r="B90" t="s">
        <v>229</v>
      </c>
      <c r="C90">
        <v>1</v>
      </c>
      <c r="D90">
        <v>8500</v>
      </c>
      <c r="E90">
        <f t="shared" si="0"/>
        <v>8500</v>
      </c>
      <c r="F90">
        <f>D90 - VLOOKUP(B90,Articles!A:D,3,FALSE)</f>
        <v>4468</v>
      </c>
      <c r="G90">
        <f t="shared" si="2"/>
        <v>4468</v>
      </c>
    </row>
    <row r="91" spans="1:7" x14ac:dyDescent="0.2">
      <c r="B91" t="s">
        <v>174</v>
      </c>
      <c r="C91">
        <v>1</v>
      </c>
      <c r="D91">
        <v>6500</v>
      </c>
      <c r="E91">
        <f t="shared" si="0"/>
        <v>6500</v>
      </c>
      <c r="F91">
        <f>D91 - VLOOKUP(B91,Articles!A:D,3,FALSE)</f>
        <v>3672</v>
      </c>
      <c r="G91">
        <f t="shared" si="2"/>
        <v>3672</v>
      </c>
    </row>
    <row r="92" spans="1:7" x14ac:dyDescent="0.2">
      <c r="B92" t="s">
        <v>310</v>
      </c>
      <c r="C92">
        <v>1</v>
      </c>
      <c r="D92">
        <v>7500</v>
      </c>
      <c r="E92">
        <f t="shared" si="0"/>
        <v>7500</v>
      </c>
      <c r="F92">
        <f>D92 - VLOOKUP(B92,Articles!A:D,3,FALSE)</f>
        <v>4210</v>
      </c>
      <c r="G92">
        <f t="shared" si="2"/>
        <v>4210</v>
      </c>
    </row>
    <row r="93" spans="1:7" x14ac:dyDescent="0.2">
      <c r="A93" s="1">
        <v>45752</v>
      </c>
      <c r="B93" t="s">
        <v>190</v>
      </c>
      <c r="C93">
        <v>2</v>
      </c>
      <c r="D93">
        <v>2000</v>
      </c>
      <c r="E93">
        <f t="shared" si="0"/>
        <v>4000</v>
      </c>
      <c r="F93">
        <f>D93 - VLOOKUP(B93,Articles!A:D,3,FALSE)</f>
        <v>1358.5</v>
      </c>
      <c r="G93">
        <f t="shared" si="2"/>
        <v>2717</v>
      </c>
    </row>
    <row r="94" spans="1:7" x14ac:dyDescent="0.2">
      <c r="B94" t="s">
        <v>274</v>
      </c>
      <c r="C94">
        <v>1</v>
      </c>
      <c r="D94">
        <v>5500</v>
      </c>
      <c r="E94">
        <f t="shared" ref="E94:E214" si="3">C94*D94</f>
        <v>5500</v>
      </c>
      <c r="F94">
        <f>D94 - VLOOKUP(B94,Articles!A:D,3,FALSE)</f>
        <v>2455</v>
      </c>
      <c r="G94">
        <f t="shared" si="2"/>
        <v>2455</v>
      </c>
    </row>
    <row r="95" spans="1:7" x14ac:dyDescent="0.2">
      <c r="B95" t="s">
        <v>186</v>
      </c>
      <c r="C95">
        <v>6</v>
      </c>
      <c r="D95">
        <v>1500</v>
      </c>
      <c r="E95">
        <f t="shared" si="3"/>
        <v>9000</v>
      </c>
      <c r="F95">
        <f>D95 - VLOOKUP(B95,Articles!A:D,3,FALSE)</f>
        <v>750</v>
      </c>
      <c r="G95">
        <f t="shared" si="2"/>
        <v>4500</v>
      </c>
    </row>
    <row r="96" spans="1:7" x14ac:dyDescent="0.2">
      <c r="B96" t="s">
        <v>189</v>
      </c>
      <c r="C96">
        <v>6</v>
      </c>
      <c r="D96">
        <v>1000</v>
      </c>
      <c r="E96">
        <f t="shared" si="3"/>
        <v>6000</v>
      </c>
      <c r="F96">
        <f>D96 - VLOOKUP(B96,Articles!A:D,3,FALSE)</f>
        <v>546.67000000000007</v>
      </c>
      <c r="G96">
        <f t="shared" si="2"/>
        <v>3280.0200000000004</v>
      </c>
    </row>
    <row r="97" spans="1:7" x14ac:dyDescent="0.2">
      <c r="A97" s="1">
        <v>45754</v>
      </c>
      <c r="B97" t="s">
        <v>186</v>
      </c>
      <c r="C97">
        <v>5</v>
      </c>
      <c r="D97">
        <v>1500</v>
      </c>
      <c r="E97">
        <f t="shared" si="3"/>
        <v>7500</v>
      </c>
      <c r="F97">
        <f>D97 - VLOOKUP(B97,Articles!A:D,3,FALSE)</f>
        <v>750</v>
      </c>
      <c r="G97">
        <f t="shared" si="2"/>
        <v>3750</v>
      </c>
    </row>
    <row r="98" spans="1:7" x14ac:dyDescent="0.2">
      <c r="B98" t="s">
        <v>190</v>
      </c>
      <c r="C98">
        <v>6</v>
      </c>
      <c r="D98">
        <v>2000</v>
      </c>
      <c r="E98">
        <f t="shared" si="3"/>
        <v>12000</v>
      </c>
      <c r="F98">
        <f>D98 - VLOOKUP(B98,Articles!A:D,3,FALSE)</f>
        <v>1358.5</v>
      </c>
      <c r="G98">
        <f t="shared" si="2"/>
        <v>8151</v>
      </c>
    </row>
    <row r="99" spans="1:7" x14ac:dyDescent="0.2">
      <c r="B99" t="s">
        <v>189</v>
      </c>
      <c r="C99">
        <v>12</v>
      </c>
      <c r="D99">
        <v>1000</v>
      </c>
      <c r="E99">
        <f t="shared" si="3"/>
        <v>12000</v>
      </c>
      <c r="F99">
        <f>D99 - VLOOKUP(B99,Articles!A:D,3,FALSE)</f>
        <v>546.67000000000007</v>
      </c>
      <c r="G99">
        <f t="shared" si="2"/>
        <v>6560.0400000000009</v>
      </c>
    </row>
    <row r="100" spans="1:7" x14ac:dyDescent="0.2">
      <c r="B100" t="s">
        <v>186</v>
      </c>
      <c r="C100">
        <v>9</v>
      </c>
      <c r="D100">
        <v>1400</v>
      </c>
      <c r="E100">
        <f t="shared" si="3"/>
        <v>12600</v>
      </c>
      <c r="F100">
        <f>D100 - VLOOKUP(B100,Articles!A:D,3,FALSE)</f>
        <v>650</v>
      </c>
      <c r="G100">
        <f t="shared" si="2"/>
        <v>5850</v>
      </c>
    </row>
    <row r="101" spans="1:7" x14ac:dyDescent="0.2">
      <c r="B101" t="s">
        <v>195</v>
      </c>
      <c r="C101">
        <v>1</v>
      </c>
      <c r="D101">
        <v>1000</v>
      </c>
      <c r="E101">
        <f t="shared" si="3"/>
        <v>1000</v>
      </c>
      <c r="F101">
        <f>D101 - VLOOKUP(B101,Articles!A:D,3,FALSE)</f>
        <v>250</v>
      </c>
      <c r="G101">
        <f t="shared" si="2"/>
        <v>250</v>
      </c>
    </row>
    <row r="102" spans="1:7" x14ac:dyDescent="0.2">
      <c r="A102" s="1">
        <v>45755</v>
      </c>
      <c r="B102" t="s">
        <v>292</v>
      </c>
      <c r="C102">
        <v>1</v>
      </c>
      <c r="D102">
        <v>6000</v>
      </c>
      <c r="E102">
        <f t="shared" si="3"/>
        <v>6000</v>
      </c>
      <c r="F102">
        <f>D102 - VLOOKUP(B102,Articles!A:D,3,FALSE)</f>
        <v>3235</v>
      </c>
      <c r="G102">
        <f t="shared" si="2"/>
        <v>3235</v>
      </c>
    </row>
    <row r="103" spans="1:7" x14ac:dyDescent="0.2">
      <c r="B103" t="s">
        <v>289</v>
      </c>
      <c r="C103">
        <v>1</v>
      </c>
      <c r="D103">
        <v>9000</v>
      </c>
      <c r="E103">
        <f t="shared" si="3"/>
        <v>9000</v>
      </c>
      <c r="F103">
        <f>D103 - VLOOKUP(B103,Articles!A:D,3,FALSE)</f>
        <v>4625</v>
      </c>
      <c r="G103">
        <f t="shared" si="2"/>
        <v>4625</v>
      </c>
    </row>
    <row r="104" spans="1:7" x14ac:dyDescent="0.2">
      <c r="B104" t="s">
        <v>285</v>
      </c>
      <c r="C104">
        <v>1</v>
      </c>
      <c r="D104">
        <v>5000</v>
      </c>
      <c r="E104">
        <f t="shared" si="3"/>
        <v>5000</v>
      </c>
      <c r="F104">
        <f>D104 - VLOOKUP(B104,Articles!A:D,3,FALSE)</f>
        <v>2305</v>
      </c>
      <c r="G104">
        <f t="shared" si="2"/>
        <v>2305</v>
      </c>
    </row>
    <row r="105" spans="1:7" x14ac:dyDescent="0.2">
      <c r="B105" t="s">
        <v>207</v>
      </c>
      <c r="C105">
        <v>1</v>
      </c>
      <c r="D105">
        <v>5000</v>
      </c>
      <c r="E105">
        <f t="shared" si="3"/>
        <v>5000</v>
      </c>
      <c r="F105">
        <f>D105 - VLOOKUP(B105,Articles!A:D,3,FALSE)</f>
        <v>2452</v>
      </c>
      <c r="G105">
        <f t="shared" si="2"/>
        <v>2452</v>
      </c>
    </row>
    <row r="106" spans="1:7" x14ac:dyDescent="0.2">
      <c r="B106" t="s">
        <v>227</v>
      </c>
      <c r="C106">
        <v>1</v>
      </c>
      <c r="D106">
        <v>6500</v>
      </c>
      <c r="E106">
        <f t="shared" si="3"/>
        <v>6500</v>
      </c>
      <c r="F106">
        <f>D106 - VLOOKUP(B106,Articles!A:D,3,FALSE)</f>
        <v>3336</v>
      </c>
      <c r="G106">
        <f t="shared" si="2"/>
        <v>3336</v>
      </c>
    </row>
    <row r="107" spans="1:7" x14ac:dyDescent="0.2">
      <c r="B107" t="s">
        <v>318</v>
      </c>
      <c r="C107">
        <v>1</v>
      </c>
      <c r="D107">
        <v>7000</v>
      </c>
      <c r="E107">
        <f t="shared" si="3"/>
        <v>7000</v>
      </c>
      <c r="F107">
        <f>D107 - VLOOKUP(B107,Articles!A:D,3,FALSE)</f>
        <v>3801</v>
      </c>
      <c r="G107">
        <f t="shared" si="2"/>
        <v>3801</v>
      </c>
    </row>
    <row r="108" spans="1:7" x14ac:dyDescent="0.2">
      <c r="A108" s="1">
        <v>45756</v>
      </c>
      <c r="B108" t="s">
        <v>308</v>
      </c>
      <c r="C108">
        <v>6</v>
      </c>
      <c r="D108">
        <v>3200</v>
      </c>
      <c r="E108">
        <f t="shared" si="3"/>
        <v>19200</v>
      </c>
      <c r="F108">
        <f>D108 - VLOOKUP(B108,Articles!A:D,3,FALSE)</f>
        <v>1693</v>
      </c>
      <c r="G108">
        <f t="shared" si="2"/>
        <v>10158</v>
      </c>
    </row>
    <row r="109" spans="1:7" x14ac:dyDescent="0.2">
      <c r="B109" t="s">
        <v>275</v>
      </c>
      <c r="C109">
        <v>2</v>
      </c>
      <c r="D109">
        <v>2500</v>
      </c>
      <c r="E109">
        <f t="shared" si="3"/>
        <v>5000</v>
      </c>
      <c r="F109">
        <f>D109 - VLOOKUP(B109,Articles!A:D,3,FALSE)</f>
        <v>1250</v>
      </c>
      <c r="G109">
        <f t="shared" si="2"/>
        <v>2500</v>
      </c>
    </row>
    <row r="110" spans="1:7" x14ac:dyDescent="0.2">
      <c r="B110" t="s">
        <v>331</v>
      </c>
      <c r="C110">
        <v>3</v>
      </c>
      <c r="D110">
        <v>334</v>
      </c>
      <c r="E110">
        <f t="shared" si="3"/>
        <v>1002</v>
      </c>
      <c r="F110">
        <f>D110 - VLOOKUP(B110,Articles!A:D,3,FALSE)</f>
        <v>167</v>
      </c>
      <c r="G110">
        <f t="shared" si="2"/>
        <v>501</v>
      </c>
    </row>
    <row r="111" spans="1:7" x14ac:dyDescent="0.2">
      <c r="B111" t="s">
        <v>250</v>
      </c>
      <c r="C111">
        <v>2</v>
      </c>
      <c r="D111">
        <v>1000</v>
      </c>
      <c r="E111">
        <f t="shared" si="3"/>
        <v>2000</v>
      </c>
      <c r="F111">
        <f>D111 - VLOOKUP(B111,Articles!A:D,3,FALSE)</f>
        <v>500</v>
      </c>
      <c r="G111">
        <f t="shared" si="2"/>
        <v>1000</v>
      </c>
    </row>
    <row r="112" spans="1:7" x14ac:dyDescent="0.2">
      <c r="B112" t="s">
        <v>227</v>
      </c>
      <c r="C112">
        <v>2</v>
      </c>
      <c r="D112">
        <v>6500</v>
      </c>
      <c r="E112">
        <f t="shared" si="3"/>
        <v>13000</v>
      </c>
      <c r="F112">
        <f>D112 - VLOOKUP(B112,Articles!A:D,3,FALSE)</f>
        <v>3336</v>
      </c>
      <c r="G112">
        <f t="shared" si="2"/>
        <v>6672</v>
      </c>
    </row>
    <row r="113" spans="1:7" x14ac:dyDescent="0.2">
      <c r="A113" s="1">
        <v>45758</v>
      </c>
      <c r="B113" t="s">
        <v>227</v>
      </c>
      <c r="C113">
        <v>1</v>
      </c>
      <c r="D113">
        <v>6000</v>
      </c>
      <c r="E113">
        <f t="shared" si="3"/>
        <v>6000</v>
      </c>
      <c r="F113">
        <f>D113 - VLOOKUP(B113,Articles!A:D,3,FALSE)</f>
        <v>2836</v>
      </c>
      <c r="G113">
        <f t="shared" si="2"/>
        <v>2836</v>
      </c>
    </row>
    <row r="114" spans="1:7" x14ac:dyDescent="0.2">
      <c r="B114" t="s">
        <v>189</v>
      </c>
      <c r="C114">
        <v>1</v>
      </c>
      <c r="D114">
        <v>1000</v>
      </c>
      <c r="E114">
        <f t="shared" si="3"/>
        <v>1000</v>
      </c>
      <c r="F114">
        <f>D114 - VLOOKUP(B114,Articles!A:D,3,FALSE)</f>
        <v>546.67000000000007</v>
      </c>
      <c r="G114">
        <f t="shared" si="2"/>
        <v>546.67000000000007</v>
      </c>
    </row>
    <row r="115" spans="1:7" x14ac:dyDescent="0.2">
      <c r="B115" t="s">
        <v>227</v>
      </c>
      <c r="C115">
        <v>1</v>
      </c>
      <c r="D115">
        <v>6000</v>
      </c>
      <c r="E115">
        <f t="shared" si="3"/>
        <v>6000</v>
      </c>
      <c r="F115">
        <f>D115 - VLOOKUP(B115,Articles!A:D,3,FALSE)</f>
        <v>2836</v>
      </c>
      <c r="G115">
        <f t="shared" si="2"/>
        <v>2836</v>
      </c>
    </row>
    <row r="116" spans="1:7" x14ac:dyDescent="0.2">
      <c r="B116" t="s">
        <v>186</v>
      </c>
      <c r="C116">
        <v>1</v>
      </c>
      <c r="D116">
        <v>1400</v>
      </c>
      <c r="E116">
        <f t="shared" si="3"/>
        <v>1400</v>
      </c>
      <c r="F116">
        <f>D116 - VLOOKUP(B116,Articles!A:D,3,FALSE)</f>
        <v>650</v>
      </c>
      <c r="G116">
        <f t="shared" si="2"/>
        <v>650</v>
      </c>
    </row>
    <row r="117" spans="1:7" x14ac:dyDescent="0.2">
      <c r="B117" t="s">
        <v>262</v>
      </c>
      <c r="C117">
        <v>1</v>
      </c>
      <c r="D117">
        <v>1500</v>
      </c>
      <c r="E117">
        <f t="shared" si="3"/>
        <v>1500</v>
      </c>
      <c r="F117">
        <f>D117 - VLOOKUP(B117,Articles!A:D,3,FALSE)</f>
        <v>660</v>
      </c>
      <c r="G117">
        <f t="shared" si="2"/>
        <v>660</v>
      </c>
    </row>
    <row r="118" spans="1:7" x14ac:dyDescent="0.2">
      <c r="B118" t="s">
        <v>280</v>
      </c>
      <c r="C118">
        <v>1</v>
      </c>
      <c r="D118">
        <v>5500</v>
      </c>
      <c r="E118">
        <f t="shared" si="3"/>
        <v>5500</v>
      </c>
      <c r="F118">
        <f>D118 - VLOOKUP(B118,Articles!A:D,3,FALSE)</f>
        <v>2735</v>
      </c>
      <c r="G118">
        <f t="shared" si="2"/>
        <v>2735</v>
      </c>
    </row>
    <row r="119" spans="1:7" x14ac:dyDescent="0.2">
      <c r="A119" s="1">
        <v>45759</v>
      </c>
      <c r="B119" t="s">
        <v>174</v>
      </c>
      <c r="C119">
        <v>1</v>
      </c>
      <c r="D119">
        <v>5000</v>
      </c>
      <c r="E119">
        <f t="shared" si="3"/>
        <v>5000</v>
      </c>
      <c r="F119">
        <f>D119 - VLOOKUP(B119,Articles!A:D,3,FALSE)</f>
        <v>2172</v>
      </c>
      <c r="G119">
        <f t="shared" si="2"/>
        <v>2172</v>
      </c>
    </row>
    <row r="120" spans="1:7" x14ac:dyDescent="0.2">
      <c r="B120" t="s">
        <v>292</v>
      </c>
      <c r="C120">
        <v>1</v>
      </c>
      <c r="D120">
        <v>5500</v>
      </c>
      <c r="E120">
        <f t="shared" si="3"/>
        <v>5500</v>
      </c>
      <c r="F120">
        <f>D120 - VLOOKUP(B120,Articles!A:D,3,FALSE)</f>
        <v>2735</v>
      </c>
      <c r="G120">
        <f t="shared" si="2"/>
        <v>2735</v>
      </c>
    </row>
    <row r="121" spans="1:7" x14ac:dyDescent="0.2">
      <c r="B121" t="s">
        <v>290</v>
      </c>
      <c r="C121">
        <v>1</v>
      </c>
      <c r="D121">
        <v>5500</v>
      </c>
      <c r="E121">
        <f t="shared" si="3"/>
        <v>5500</v>
      </c>
      <c r="F121">
        <f>D121 - VLOOKUP(B121,Articles!A:D,3,FALSE)</f>
        <v>2735</v>
      </c>
      <c r="G121">
        <f t="shared" si="2"/>
        <v>2735</v>
      </c>
    </row>
    <row r="122" spans="1:7" x14ac:dyDescent="0.2">
      <c r="B122" t="s">
        <v>190</v>
      </c>
      <c r="C122">
        <v>3</v>
      </c>
      <c r="D122">
        <v>1500</v>
      </c>
      <c r="E122">
        <f t="shared" si="3"/>
        <v>4500</v>
      </c>
      <c r="F122">
        <f>D122 - VLOOKUP(B122,Articles!A:D,3,FALSE)</f>
        <v>858.5</v>
      </c>
      <c r="G122">
        <f t="shared" si="2"/>
        <v>2575.5</v>
      </c>
    </row>
    <row r="123" spans="1:7" x14ac:dyDescent="0.2">
      <c r="B123" t="s">
        <v>209</v>
      </c>
      <c r="C123">
        <v>1</v>
      </c>
      <c r="D123">
        <v>5500</v>
      </c>
      <c r="E123">
        <f t="shared" si="3"/>
        <v>5500</v>
      </c>
      <c r="F123">
        <f>D123 - VLOOKUP(B123,Articles!A:D,3,FALSE)</f>
        <v>2609</v>
      </c>
      <c r="G123">
        <f t="shared" si="2"/>
        <v>2609</v>
      </c>
    </row>
    <row r="124" spans="1:7" x14ac:dyDescent="0.2">
      <c r="B124" t="s">
        <v>337</v>
      </c>
      <c r="C124">
        <v>2</v>
      </c>
      <c r="D124">
        <v>4500</v>
      </c>
      <c r="E124">
        <f t="shared" si="3"/>
        <v>9000</v>
      </c>
      <c r="F124">
        <f>D124 - VLOOKUP(B124,Articles!A:D,3,FALSE)</f>
        <v>1000</v>
      </c>
      <c r="G124">
        <f t="shared" si="2"/>
        <v>2000</v>
      </c>
    </row>
    <row r="125" spans="1:7" x14ac:dyDescent="0.2">
      <c r="B125" t="s">
        <v>186</v>
      </c>
      <c r="C125">
        <v>5</v>
      </c>
      <c r="D125">
        <v>1400</v>
      </c>
      <c r="E125">
        <f t="shared" si="3"/>
        <v>7000</v>
      </c>
      <c r="F125">
        <f>D125 - VLOOKUP(B125,Articles!A:D,3,FALSE)</f>
        <v>650</v>
      </c>
      <c r="G125">
        <f t="shared" si="2"/>
        <v>3250</v>
      </c>
    </row>
    <row r="126" spans="1:7" x14ac:dyDescent="0.2">
      <c r="B126" t="s">
        <v>190</v>
      </c>
      <c r="C126">
        <v>7</v>
      </c>
      <c r="D126">
        <v>1500</v>
      </c>
      <c r="E126">
        <f t="shared" si="3"/>
        <v>10500</v>
      </c>
      <c r="F126">
        <f>D126 - VLOOKUP(B126,Articles!A:D,3,FALSE)</f>
        <v>858.5</v>
      </c>
      <c r="G126">
        <f t="shared" si="2"/>
        <v>6009.5</v>
      </c>
    </row>
    <row r="127" spans="1:7" x14ac:dyDescent="0.2">
      <c r="B127" t="s">
        <v>308</v>
      </c>
      <c r="C127">
        <v>7</v>
      </c>
      <c r="D127">
        <v>3000</v>
      </c>
      <c r="E127">
        <f t="shared" si="3"/>
        <v>21000</v>
      </c>
      <c r="F127">
        <f>D127 - VLOOKUP(B127,Articles!A:D,3,FALSE)</f>
        <v>1493</v>
      </c>
      <c r="G127">
        <f t="shared" si="2"/>
        <v>10451</v>
      </c>
    </row>
    <row r="128" spans="1:7" x14ac:dyDescent="0.2">
      <c r="B128" t="s">
        <v>6</v>
      </c>
      <c r="C128">
        <v>2</v>
      </c>
      <c r="D128">
        <v>1000</v>
      </c>
      <c r="E128">
        <f t="shared" si="3"/>
        <v>2000</v>
      </c>
      <c r="F128">
        <f>D128 - VLOOKUP(B128,Articles!A:D,3,FALSE)</f>
        <v>500</v>
      </c>
      <c r="G128">
        <f t="shared" si="2"/>
        <v>1000</v>
      </c>
    </row>
    <row r="129" spans="2:7" x14ac:dyDescent="0.2">
      <c r="B129" t="s">
        <v>239</v>
      </c>
      <c r="C129">
        <v>2</v>
      </c>
      <c r="D129">
        <v>2000</v>
      </c>
      <c r="E129">
        <f t="shared" si="3"/>
        <v>4000</v>
      </c>
      <c r="F129">
        <f>D129 - VLOOKUP(B129,Articles!A:D,3,FALSE)</f>
        <v>500</v>
      </c>
      <c r="G129">
        <f t="shared" si="2"/>
        <v>1000</v>
      </c>
    </row>
    <row r="130" spans="2:7" x14ac:dyDescent="0.2">
      <c r="B130" t="s">
        <v>238</v>
      </c>
      <c r="C130">
        <v>1</v>
      </c>
      <c r="D130">
        <v>2000</v>
      </c>
      <c r="E130">
        <f t="shared" si="3"/>
        <v>2000</v>
      </c>
      <c r="F130">
        <f>D130 - VLOOKUP(B130,Articles!A:D,3,FALSE)</f>
        <v>500</v>
      </c>
      <c r="G130">
        <f t="shared" si="2"/>
        <v>500</v>
      </c>
    </row>
    <row r="131" spans="2:7" x14ac:dyDescent="0.2">
      <c r="B131" t="s">
        <v>250</v>
      </c>
      <c r="C131">
        <v>2</v>
      </c>
      <c r="D131">
        <v>1000</v>
      </c>
      <c r="E131">
        <f t="shared" si="3"/>
        <v>2000</v>
      </c>
      <c r="F131">
        <f>D131 - VLOOKUP(B131,Articles!A:D,3,FALSE)</f>
        <v>500</v>
      </c>
      <c r="G131">
        <f t="shared" ref="G131:G194" si="4">F131 * C131</f>
        <v>1000</v>
      </c>
    </row>
    <row r="132" spans="2:7" x14ac:dyDescent="0.2">
      <c r="B132" t="s">
        <v>262</v>
      </c>
      <c r="C132">
        <v>2</v>
      </c>
      <c r="D132">
        <v>2000</v>
      </c>
      <c r="E132">
        <f t="shared" si="3"/>
        <v>4000</v>
      </c>
      <c r="F132">
        <f>D132 - VLOOKUP(B132,Articles!A:D,3,FALSE)</f>
        <v>1160</v>
      </c>
      <c r="G132">
        <f t="shared" si="4"/>
        <v>2320</v>
      </c>
    </row>
    <row r="133" spans="2:7" x14ac:dyDescent="0.2">
      <c r="B133" t="s">
        <v>200</v>
      </c>
      <c r="C133">
        <v>1</v>
      </c>
      <c r="D133">
        <v>8000</v>
      </c>
      <c r="E133">
        <f t="shared" si="3"/>
        <v>8000</v>
      </c>
      <c r="F133">
        <f>D133 - VLOOKUP(B133,Articles!A:D,3,FALSE)</f>
        <v>4199</v>
      </c>
      <c r="G133">
        <f t="shared" si="4"/>
        <v>4199</v>
      </c>
    </row>
    <row r="134" spans="2:7" x14ac:dyDescent="0.2">
      <c r="B134" t="s">
        <v>286</v>
      </c>
      <c r="C134">
        <v>1</v>
      </c>
      <c r="D134">
        <v>5000</v>
      </c>
      <c r="E134">
        <f t="shared" si="3"/>
        <v>5000</v>
      </c>
      <c r="F134">
        <f>D134 - VLOOKUP(B134,Articles!A:D,3,FALSE)</f>
        <v>2585</v>
      </c>
      <c r="G134">
        <f t="shared" si="4"/>
        <v>2585</v>
      </c>
    </row>
    <row r="135" spans="2:7" x14ac:dyDescent="0.2">
      <c r="B135" t="s">
        <v>314</v>
      </c>
      <c r="C135">
        <v>1</v>
      </c>
      <c r="D135">
        <v>8500</v>
      </c>
      <c r="E135">
        <f t="shared" si="3"/>
        <v>8500</v>
      </c>
      <c r="F135">
        <f>D135 - VLOOKUP(B135,Articles!A:D,3,FALSE)</f>
        <v>4160</v>
      </c>
      <c r="G135">
        <f t="shared" si="4"/>
        <v>4160</v>
      </c>
    </row>
    <row r="136" spans="2:7" x14ac:dyDescent="0.2">
      <c r="B136" t="s">
        <v>339</v>
      </c>
      <c r="C136">
        <v>1</v>
      </c>
      <c r="D136">
        <v>4500</v>
      </c>
      <c r="E136">
        <f t="shared" si="3"/>
        <v>4500</v>
      </c>
      <c r="F136">
        <f>D136 - VLOOKUP(B136,Articles!A:D,3,FALSE)</f>
        <v>500</v>
      </c>
      <c r="G136">
        <f t="shared" si="4"/>
        <v>500</v>
      </c>
    </row>
    <row r="137" spans="2:7" x14ac:dyDescent="0.2">
      <c r="B137" t="s">
        <v>341</v>
      </c>
      <c r="C137">
        <v>1</v>
      </c>
      <c r="D137">
        <v>7000</v>
      </c>
      <c r="E137">
        <f t="shared" si="3"/>
        <v>7000</v>
      </c>
      <c r="F137">
        <f>D137 - VLOOKUP(B137,Articles!A:D,3,FALSE)</f>
        <v>1000</v>
      </c>
      <c r="G137">
        <f t="shared" si="4"/>
        <v>1000</v>
      </c>
    </row>
    <row r="138" spans="2:7" x14ac:dyDescent="0.2">
      <c r="B138" t="s">
        <v>321</v>
      </c>
      <c r="C138">
        <v>1</v>
      </c>
      <c r="D138">
        <v>9000</v>
      </c>
      <c r="E138">
        <f t="shared" si="3"/>
        <v>9000</v>
      </c>
      <c r="F138">
        <f>D138 - VLOOKUP(B138,Articles!A:D,3,FALSE)</f>
        <v>4499</v>
      </c>
      <c r="G138">
        <f t="shared" si="4"/>
        <v>4499</v>
      </c>
    </row>
    <row r="139" spans="2:7" x14ac:dyDescent="0.2">
      <c r="B139" t="s">
        <v>280</v>
      </c>
      <c r="C139">
        <v>1</v>
      </c>
      <c r="D139">
        <v>6000</v>
      </c>
      <c r="E139">
        <f t="shared" si="3"/>
        <v>6000</v>
      </c>
      <c r="F139">
        <f>D139 - VLOOKUP(B139,Articles!A:D,3,FALSE)</f>
        <v>3235</v>
      </c>
      <c r="G139">
        <f t="shared" si="4"/>
        <v>3235</v>
      </c>
    </row>
    <row r="140" spans="2:7" x14ac:dyDescent="0.2">
      <c r="B140" t="s">
        <v>213</v>
      </c>
      <c r="C140">
        <v>1</v>
      </c>
      <c r="D140">
        <v>7500</v>
      </c>
      <c r="E140">
        <f t="shared" si="3"/>
        <v>7500</v>
      </c>
      <c r="F140">
        <f>D140 - VLOOKUP(B140,Articles!A:D,3,FALSE)</f>
        <v>3874</v>
      </c>
      <c r="G140">
        <f t="shared" si="4"/>
        <v>3874</v>
      </c>
    </row>
    <row r="141" spans="2:7" x14ac:dyDescent="0.2">
      <c r="B141" t="s">
        <v>300</v>
      </c>
      <c r="C141">
        <v>1</v>
      </c>
      <c r="D141">
        <v>2500</v>
      </c>
      <c r="E141">
        <f t="shared" si="3"/>
        <v>2500</v>
      </c>
      <c r="F141">
        <f>D141 - VLOOKUP(B141,Articles!A:D,3,FALSE)</f>
        <v>0</v>
      </c>
      <c r="G141">
        <f t="shared" si="4"/>
        <v>0</v>
      </c>
    </row>
    <row r="142" spans="2:7" x14ac:dyDescent="0.2">
      <c r="B142" t="s">
        <v>257</v>
      </c>
      <c r="C142">
        <v>1</v>
      </c>
      <c r="D142">
        <v>8500</v>
      </c>
      <c r="E142">
        <f t="shared" si="3"/>
        <v>8500</v>
      </c>
      <c r="F142">
        <f>D142 - VLOOKUP(B142,Articles!A:D,3,FALSE)</f>
        <v>4230</v>
      </c>
      <c r="G142">
        <f t="shared" si="4"/>
        <v>4230</v>
      </c>
    </row>
    <row r="143" spans="2:7" x14ac:dyDescent="0.2">
      <c r="B143" t="s">
        <v>298</v>
      </c>
      <c r="C143">
        <v>1</v>
      </c>
      <c r="D143">
        <v>7000</v>
      </c>
      <c r="E143">
        <f t="shared" si="3"/>
        <v>7000</v>
      </c>
      <c r="F143">
        <f>D143 - VLOOKUP(B143,Articles!A:D,3,FALSE)</f>
        <v>3250</v>
      </c>
      <c r="G143">
        <f t="shared" si="4"/>
        <v>3250</v>
      </c>
    </row>
    <row r="144" spans="2:7" x14ac:dyDescent="0.2">
      <c r="B144" t="s">
        <v>229</v>
      </c>
      <c r="C144">
        <v>1</v>
      </c>
      <c r="D144">
        <v>7500</v>
      </c>
      <c r="E144">
        <f t="shared" si="3"/>
        <v>7500</v>
      </c>
      <c r="F144">
        <f>D144 - VLOOKUP(B144,Articles!A:D,3,FALSE)</f>
        <v>3468</v>
      </c>
      <c r="G144">
        <f t="shared" si="4"/>
        <v>3468</v>
      </c>
    </row>
    <row r="145" spans="2:7" x14ac:dyDescent="0.2">
      <c r="B145" t="s">
        <v>256</v>
      </c>
      <c r="C145">
        <v>1</v>
      </c>
      <c r="D145">
        <v>7500</v>
      </c>
      <c r="E145">
        <f t="shared" si="3"/>
        <v>7500</v>
      </c>
      <c r="F145">
        <f>D145 - VLOOKUP(B145,Articles!A:D,3,FALSE)</f>
        <v>3825</v>
      </c>
      <c r="G145">
        <f t="shared" si="4"/>
        <v>3825</v>
      </c>
    </row>
    <row r="146" spans="2:7" x14ac:dyDescent="0.2">
      <c r="B146" t="s">
        <v>289</v>
      </c>
      <c r="C146">
        <v>1</v>
      </c>
      <c r="D146">
        <v>9000</v>
      </c>
      <c r="E146">
        <f t="shared" si="3"/>
        <v>9000</v>
      </c>
      <c r="F146">
        <f>D146 - VLOOKUP(B146,Articles!A:D,3,FALSE)</f>
        <v>4625</v>
      </c>
      <c r="G146">
        <f t="shared" si="4"/>
        <v>4625</v>
      </c>
    </row>
    <row r="147" spans="2:7" x14ac:dyDescent="0.2">
      <c r="B147" t="s">
        <v>198</v>
      </c>
      <c r="C147">
        <v>1</v>
      </c>
      <c r="D147">
        <v>6000</v>
      </c>
      <c r="E147">
        <f t="shared" si="3"/>
        <v>6000</v>
      </c>
      <c r="F147">
        <f>D147 - VLOOKUP(B147,Articles!A:D,3,FALSE)</f>
        <v>3753</v>
      </c>
      <c r="G147">
        <f t="shared" si="4"/>
        <v>3753</v>
      </c>
    </row>
    <row r="148" spans="2:7" x14ac:dyDescent="0.2">
      <c r="B148" t="s">
        <v>293</v>
      </c>
      <c r="C148">
        <v>1</v>
      </c>
      <c r="D148">
        <v>4500</v>
      </c>
      <c r="E148">
        <f t="shared" si="3"/>
        <v>4500</v>
      </c>
      <c r="F148">
        <f>D148 - VLOOKUP(B148,Articles!A:D,3,FALSE)</f>
        <v>2225</v>
      </c>
      <c r="G148">
        <f t="shared" si="4"/>
        <v>2225</v>
      </c>
    </row>
    <row r="149" spans="2:7" x14ac:dyDescent="0.2">
      <c r="B149" t="s">
        <v>181</v>
      </c>
      <c r="C149">
        <v>1</v>
      </c>
      <c r="D149">
        <v>8500</v>
      </c>
      <c r="E149">
        <f t="shared" si="3"/>
        <v>8500</v>
      </c>
      <c r="F149">
        <f>D149 - VLOOKUP(B149,Articles!A:D,3,FALSE)</f>
        <v>4550</v>
      </c>
      <c r="G149">
        <f t="shared" si="4"/>
        <v>4550</v>
      </c>
    </row>
    <row r="150" spans="2:7" x14ac:dyDescent="0.2">
      <c r="B150" t="s">
        <v>207</v>
      </c>
      <c r="C150">
        <v>1</v>
      </c>
      <c r="D150">
        <v>5000</v>
      </c>
      <c r="E150">
        <f t="shared" si="3"/>
        <v>5000</v>
      </c>
      <c r="F150">
        <f>D150 - VLOOKUP(B150,Articles!A:D,3,FALSE)</f>
        <v>2452</v>
      </c>
      <c r="G150">
        <f t="shared" si="4"/>
        <v>2452</v>
      </c>
    </row>
    <row r="151" spans="2:7" x14ac:dyDescent="0.2">
      <c r="B151" t="s">
        <v>229</v>
      </c>
      <c r="C151">
        <v>1</v>
      </c>
      <c r="D151">
        <v>7500</v>
      </c>
      <c r="E151">
        <f t="shared" si="3"/>
        <v>7500</v>
      </c>
      <c r="F151">
        <f>D151 - VLOOKUP(B151,Articles!A:D,3,FALSE)</f>
        <v>3468</v>
      </c>
      <c r="G151">
        <f t="shared" si="4"/>
        <v>3468</v>
      </c>
    </row>
    <row r="152" spans="2:7" x14ac:dyDescent="0.2">
      <c r="B152" t="s">
        <v>260</v>
      </c>
      <c r="C152">
        <v>1</v>
      </c>
      <c r="D152">
        <v>6000</v>
      </c>
      <c r="E152">
        <f t="shared" si="3"/>
        <v>6000</v>
      </c>
      <c r="F152">
        <f>D152 - VLOOKUP(B152,Articles!A:D,3,FALSE)</f>
        <v>3000</v>
      </c>
      <c r="G152">
        <f t="shared" si="4"/>
        <v>3000</v>
      </c>
    </row>
    <row r="153" spans="2:7" x14ac:dyDescent="0.2">
      <c r="B153" t="s">
        <v>294</v>
      </c>
      <c r="C153">
        <v>1</v>
      </c>
      <c r="D153">
        <v>5000</v>
      </c>
      <c r="E153">
        <f t="shared" si="3"/>
        <v>5000</v>
      </c>
      <c r="F153">
        <f>D153 - VLOOKUP(B153,Articles!A:D,3,FALSE)</f>
        <v>2613</v>
      </c>
      <c r="G153">
        <f t="shared" si="4"/>
        <v>2613</v>
      </c>
    </row>
    <row r="154" spans="2:7" s="2" customFormat="1" x14ac:dyDescent="0.2">
      <c r="B154" s="2" t="s">
        <v>343</v>
      </c>
      <c r="C154" s="2">
        <v>1</v>
      </c>
      <c r="D154" s="2">
        <v>5500</v>
      </c>
      <c r="E154" s="2">
        <f t="shared" si="3"/>
        <v>5500</v>
      </c>
      <c r="F154" s="2">
        <f>D154 - VLOOKUP(B154,Articles!A:D,3,FALSE)</f>
        <v>2750</v>
      </c>
      <c r="G154" s="2">
        <f t="shared" si="4"/>
        <v>2750</v>
      </c>
    </row>
    <row r="155" spans="2:7" s="2" customFormat="1" x14ac:dyDescent="0.2">
      <c r="B155" s="2" t="s">
        <v>345</v>
      </c>
      <c r="C155" s="2">
        <v>1</v>
      </c>
      <c r="D155" s="2">
        <v>6500</v>
      </c>
      <c r="E155" s="2">
        <f t="shared" si="3"/>
        <v>6500</v>
      </c>
      <c r="F155" s="2">
        <f>D155 - VLOOKUP(B155,Articles!A:D,3,FALSE)</f>
        <v>3250</v>
      </c>
      <c r="G155" s="2">
        <f t="shared" si="4"/>
        <v>3250</v>
      </c>
    </row>
    <row r="156" spans="2:7" x14ac:dyDescent="0.2">
      <c r="B156" t="s">
        <v>213</v>
      </c>
      <c r="C156">
        <v>1</v>
      </c>
      <c r="D156">
        <v>7500</v>
      </c>
      <c r="E156">
        <f t="shared" si="3"/>
        <v>7500</v>
      </c>
      <c r="F156">
        <f>D156 - VLOOKUP(B156,Articles!A:D,3,FALSE)</f>
        <v>3874</v>
      </c>
      <c r="G156">
        <f t="shared" si="4"/>
        <v>3874</v>
      </c>
    </row>
    <row r="157" spans="2:7" x14ac:dyDescent="0.2">
      <c r="B157" t="s">
        <v>308</v>
      </c>
      <c r="C157">
        <v>4</v>
      </c>
      <c r="D157">
        <v>3000</v>
      </c>
      <c r="E157">
        <f t="shared" si="3"/>
        <v>12000</v>
      </c>
      <c r="F157">
        <f>D157 - VLOOKUP(B157,Articles!A:D,3,FALSE)</f>
        <v>1493</v>
      </c>
      <c r="G157">
        <f t="shared" si="4"/>
        <v>5972</v>
      </c>
    </row>
    <row r="158" spans="2:7" x14ac:dyDescent="0.2">
      <c r="B158" t="s">
        <v>261</v>
      </c>
      <c r="C158">
        <v>1</v>
      </c>
      <c r="D158">
        <v>3000</v>
      </c>
      <c r="E158">
        <f t="shared" si="3"/>
        <v>3000</v>
      </c>
      <c r="F158">
        <f>D158 - VLOOKUP(B158,Articles!A:D,3,FALSE)</f>
        <v>1250</v>
      </c>
      <c r="G158">
        <f t="shared" si="4"/>
        <v>1250</v>
      </c>
    </row>
    <row r="159" spans="2:7" x14ac:dyDescent="0.2">
      <c r="B159" t="s">
        <v>262</v>
      </c>
      <c r="C159">
        <v>2</v>
      </c>
      <c r="D159">
        <v>1500</v>
      </c>
      <c r="E159">
        <f t="shared" si="3"/>
        <v>3000</v>
      </c>
      <c r="F159">
        <f>D159 - VLOOKUP(B159,Articles!A:D,3,FALSE)</f>
        <v>660</v>
      </c>
      <c r="G159">
        <f t="shared" si="4"/>
        <v>1320</v>
      </c>
    </row>
    <row r="160" spans="2:7" x14ac:dyDescent="0.2">
      <c r="B160" t="s">
        <v>278</v>
      </c>
      <c r="C160">
        <v>1</v>
      </c>
      <c r="D160">
        <v>5500</v>
      </c>
      <c r="E160">
        <f t="shared" si="3"/>
        <v>5500</v>
      </c>
      <c r="F160">
        <f>D160 - VLOOKUP(B160,Articles!A:D,3,FALSE)</f>
        <v>2945</v>
      </c>
      <c r="G160">
        <f t="shared" si="4"/>
        <v>2945</v>
      </c>
    </row>
    <row r="161" spans="1:7" x14ac:dyDescent="0.2">
      <c r="B161" t="s">
        <v>310</v>
      </c>
      <c r="C161">
        <v>1</v>
      </c>
      <c r="D161">
        <v>7000</v>
      </c>
      <c r="E161">
        <f t="shared" si="3"/>
        <v>7000</v>
      </c>
      <c r="F161">
        <f>D161 - VLOOKUP(B161,Articles!A:D,3,FALSE)</f>
        <v>3710</v>
      </c>
      <c r="G161">
        <f t="shared" si="4"/>
        <v>3710</v>
      </c>
    </row>
    <row r="162" spans="1:7" x14ac:dyDescent="0.2">
      <c r="B162" t="s">
        <v>255</v>
      </c>
      <c r="C162">
        <v>1</v>
      </c>
      <c r="D162">
        <v>4000</v>
      </c>
      <c r="E162">
        <f t="shared" si="3"/>
        <v>4000</v>
      </c>
      <c r="F162">
        <f>D162 - VLOOKUP(B162,Articles!A:D,3,FALSE)</f>
        <v>2138</v>
      </c>
      <c r="G162">
        <f t="shared" si="4"/>
        <v>2138</v>
      </c>
    </row>
    <row r="163" spans="1:7" x14ac:dyDescent="0.2">
      <c r="B163" t="s">
        <v>5</v>
      </c>
      <c r="C163">
        <v>1</v>
      </c>
      <c r="D163">
        <v>5500</v>
      </c>
      <c r="E163">
        <f t="shared" si="3"/>
        <v>5500</v>
      </c>
      <c r="F163">
        <f>D163 - VLOOKUP(B163,Articles!A:D,3,FALSE)</f>
        <v>2500</v>
      </c>
      <c r="G163">
        <f t="shared" si="4"/>
        <v>2500</v>
      </c>
    </row>
    <row r="164" spans="1:7" x14ac:dyDescent="0.2">
      <c r="B164" t="s">
        <v>173</v>
      </c>
      <c r="C164">
        <v>2</v>
      </c>
      <c r="D164">
        <v>1500</v>
      </c>
      <c r="E164">
        <f t="shared" si="3"/>
        <v>3000</v>
      </c>
      <c r="F164">
        <f>D164 - VLOOKUP(B164,Articles!A:D,3,FALSE)</f>
        <v>850</v>
      </c>
      <c r="G164">
        <f t="shared" si="4"/>
        <v>1700</v>
      </c>
    </row>
    <row r="165" spans="1:7" x14ac:dyDescent="0.2">
      <c r="B165" t="s">
        <v>242</v>
      </c>
      <c r="C165">
        <v>1</v>
      </c>
      <c r="D165">
        <v>6000</v>
      </c>
      <c r="E165">
        <f t="shared" si="3"/>
        <v>6000</v>
      </c>
      <c r="F165">
        <f>D165 - VLOOKUP(B165,Articles!A:D,3,FALSE)</f>
        <v>2500</v>
      </c>
      <c r="G165">
        <f t="shared" si="4"/>
        <v>2500</v>
      </c>
    </row>
    <row r="166" spans="1:7" x14ac:dyDescent="0.2">
      <c r="B166" t="s">
        <v>194</v>
      </c>
      <c r="C166">
        <v>2</v>
      </c>
      <c r="D166">
        <v>750</v>
      </c>
      <c r="E166">
        <f t="shared" si="3"/>
        <v>1500</v>
      </c>
      <c r="F166">
        <f>D166 - VLOOKUP(B166,Articles!A:D,3,FALSE)</f>
        <v>471.5</v>
      </c>
      <c r="G166">
        <f t="shared" si="4"/>
        <v>943</v>
      </c>
    </row>
    <row r="167" spans="1:7" s="2" customFormat="1" x14ac:dyDescent="0.2">
      <c r="B167" s="2" t="s">
        <v>274</v>
      </c>
      <c r="C167" s="2">
        <v>1</v>
      </c>
      <c r="D167" s="2">
        <v>5500</v>
      </c>
      <c r="E167" s="2">
        <f t="shared" si="3"/>
        <v>5500</v>
      </c>
      <c r="F167" s="2">
        <f>D167 - VLOOKUP(B167,Articles!A:D,3,FALSE)</f>
        <v>2455</v>
      </c>
      <c r="G167" s="2">
        <f t="shared" si="4"/>
        <v>2455</v>
      </c>
    </row>
    <row r="168" spans="1:7" x14ac:dyDescent="0.2">
      <c r="B168" t="s">
        <v>190</v>
      </c>
      <c r="C168">
        <v>1</v>
      </c>
      <c r="D168">
        <v>2000</v>
      </c>
      <c r="E168">
        <f t="shared" si="3"/>
        <v>2000</v>
      </c>
      <c r="F168">
        <f>D168 - VLOOKUP(B168,Articles!A:D,3,FALSE)</f>
        <v>1358.5</v>
      </c>
      <c r="G168">
        <f t="shared" si="4"/>
        <v>1358.5</v>
      </c>
    </row>
    <row r="169" spans="1:7" x14ac:dyDescent="0.2">
      <c r="A169" s="1">
        <v>45761</v>
      </c>
      <c r="B169" t="s">
        <v>189</v>
      </c>
      <c r="C169">
        <v>4</v>
      </c>
      <c r="D169">
        <v>1000</v>
      </c>
      <c r="E169">
        <f t="shared" si="3"/>
        <v>4000</v>
      </c>
      <c r="F169">
        <f>D169 - VLOOKUP(B169,Articles!A:D,3,FALSE)</f>
        <v>546.67000000000007</v>
      </c>
      <c r="G169">
        <f t="shared" si="4"/>
        <v>2186.6800000000003</v>
      </c>
    </row>
    <row r="170" spans="1:7" x14ac:dyDescent="0.2">
      <c r="B170" t="s">
        <v>194</v>
      </c>
      <c r="C170">
        <v>2</v>
      </c>
      <c r="D170">
        <v>750</v>
      </c>
      <c r="E170">
        <f t="shared" si="3"/>
        <v>1500</v>
      </c>
      <c r="F170">
        <f>D170 - VLOOKUP(B170,Articles!A:D,3,FALSE)</f>
        <v>471.5</v>
      </c>
      <c r="G170">
        <f t="shared" si="4"/>
        <v>943</v>
      </c>
    </row>
    <row r="171" spans="1:7" x14ac:dyDescent="0.2">
      <c r="B171" t="s">
        <v>259</v>
      </c>
      <c r="C171">
        <v>1</v>
      </c>
      <c r="D171">
        <v>5500</v>
      </c>
      <c r="E171">
        <f t="shared" si="3"/>
        <v>5500</v>
      </c>
      <c r="F171">
        <f>D171 - VLOOKUP(B171,Articles!A:D,3,FALSE)</f>
        <v>3232</v>
      </c>
      <c r="G171">
        <f t="shared" si="4"/>
        <v>3232</v>
      </c>
    </row>
    <row r="172" spans="1:7" x14ac:dyDescent="0.2">
      <c r="B172" t="s">
        <v>280</v>
      </c>
      <c r="C172">
        <v>1</v>
      </c>
      <c r="D172">
        <v>6000</v>
      </c>
      <c r="E172">
        <f t="shared" si="3"/>
        <v>6000</v>
      </c>
      <c r="F172">
        <f>D172 - VLOOKUP(B172,Articles!A:D,3,FALSE)</f>
        <v>3235</v>
      </c>
      <c r="G172">
        <f t="shared" si="4"/>
        <v>3235</v>
      </c>
    </row>
    <row r="173" spans="1:7" x14ac:dyDescent="0.2">
      <c r="B173" t="s">
        <v>308</v>
      </c>
      <c r="C173">
        <v>2</v>
      </c>
      <c r="D173">
        <v>3000</v>
      </c>
      <c r="E173">
        <f t="shared" si="3"/>
        <v>6000</v>
      </c>
      <c r="F173">
        <f>D173 - VLOOKUP(B173,Articles!A:D,3,FALSE)</f>
        <v>1493</v>
      </c>
      <c r="G173">
        <f t="shared" si="4"/>
        <v>2986</v>
      </c>
    </row>
    <row r="174" spans="1:7" x14ac:dyDescent="0.2">
      <c r="A174" s="1">
        <v>45762</v>
      </c>
      <c r="B174" t="s">
        <v>186</v>
      </c>
      <c r="C174">
        <v>6</v>
      </c>
      <c r="D174">
        <v>1500</v>
      </c>
      <c r="E174">
        <f t="shared" si="3"/>
        <v>9000</v>
      </c>
      <c r="F174">
        <f>D174 - VLOOKUP(B174,Articles!A:D,3,FALSE)</f>
        <v>750</v>
      </c>
      <c r="G174">
        <f t="shared" si="4"/>
        <v>4500</v>
      </c>
    </row>
    <row r="175" spans="1:7" x14ac:dyDescent="0.2">
      <c r="B175" t="s">
        <v>174</v>
      </c>
      <c r="C175">
        <v>1</v>
      </c>
      <c r="D175">
        <v>6000</v>
      </c>
      <c r="E175">
        <f t="shared" si="3"/>
        <v>6000</v>
      </c>
      <c r="F175">
        <f>D175 - VLOOKUP(B175,Articles!A:D,3,FALSE)</f>
        <v>3172</v>
      </c>
      <c r="G175">
        <f t="shared" si="4"/>
        <v>3172</v>
      </c>
    </row>
    <row r="176" spans="1:7" x14ac:dyDescent="0.2">
      <c r="B176" t="s">
        <v>308</v>
      </c>
      <c r="C176">
        <v>1</v>
      </c>
      <c r="D176">
        <v>3500</v>
      </c>
      <c r="E176">
        <f t="shared" si="3"/>
        <v>3500</v>
      </c>
      <c r="F176">
        <f>D176 - VLOOKUP(B176,Articles!A:D,3,FALSE)</f>
        <v>1993</v>
      </c>
      <c r="G176">
        <f t="shared" si="4"/>
        <v>1993</v>
      </c>
    </row>
    <row r="177" spans="1:7" x14ac:dyDescent="0.2">
      <c r="B177" t="s">
        <v>188</v>
      </c>
      <c r="C177">
        <v>1</v>
      </c>
      <c r="D177">
        <v>2000</v>
      </c>
      <c r="E177">
        <f t="shared" si="3"/>
        <v>2000</v>
      </c>
      <c r="F177">
        <f>D177 - VLOOKUP(B177,Articles!A:D,3,FALSE)</f>
        <v>1000</v>
      </c>
      <c r="G177">
        <f t="shared" si="4"/>
        <v>1000</v>
      </c>
    </row>
    <row r="178" spans="1:7" x14ac:dyDescent="0.2">
      <c r="B178" t="s">
        <v>293</v>
      </c>
      <c r="C178">
        <v>1</v>
      </c>
      <c r="D178">
        <v>5000</v>
      </c>
      <c r="E178">
        <f t="shared" si="3"/>
        <v>5000</v>
      </c>
      <c r="F178">
        <f>D178 - VLOOKUP(B178,Articles!A:D,3,FALSE)</f>
        <v>2725</v>
      </c>
      <c r="G178">
        <f t="shared" si="4"/>
        <v>2725</v>
      </c>
    </row>
    <row r="179" spans="1:7" x14ac:dyDescent="0.2">
      <c r="B179" t="s">
        <v>186</v>
      </c>
      <c r="C179">
        <v>3</v>
      </c>
      <c r="D179">
        <v>1500</v>
      </c>
      <c r="E179">
        <f t="shared" si="3"/>
        <v>4500</v>
      </c>
      <c r="F179">
        <f>D179 - VLOOKUP(B179,Articles!A:D,3,FALSE)</f>
        <v>750</v>
      </c>
      <c r="G179">
        <f t="shared" si="4"/>
        <v>2250</v>
      </c>
    </row>
    <row r="180" spans="1:7" x14ac:dyDescent="0.2">
      <c r="A180" s="1">
        <v>45763</v>
      </c>
      <c r="B180" t="s">
        <v>174</v>
      </c>
      <c r="C180">
        <v>1</v>
      </c>
      <c r="D180">
        <v>6500</v>
      </c>
      <c r="E180">
        <f t="shared" si="3"/>
        <v>6500</v>
      </c>
      <c r="F180">
        <f>D180 - VLOOKUP(B180,Articles!A:D,3,FALSE)</f>
        <v>3672</v>
      </c>
      <c r="G180">
        <f t="shared" si="4"/>
        <v>3672</v>
      </c>
    </row>
    <row r="181" spans="1:7" x14ac:dyDescent="0.2">
      <c r="B181" t="s">
        <v>277</v>
      </c>
      <c r="C181">
        <v>1</v>
      </c>
      <c r="D181">
        <v>6500</v>
      </c>
      <c r="E181">
        <f t="shared" si="3"/>
        <v>6500</v>
      </c>
      <c r="F181">
        <f>D181 - VLOOKUP(B181,Articles!A:D,3,FALSE)</f>
        <v>3735</v>
      </c>
      <c r="G181">
        <f t="shared" si="4"/>
        <v>3735</v>
      </c>
    </row>
    <row r="182" spans="1:7" x14ac:dyDescent="0.2">
      <c r="A182" s="1">
        <v>45764</v>
      </c>
      <c r="B182" t="s">
        <v>280</v>
      </c>
      <c r="C182">
        <v>1</v>
      </c>
      <c r="D182">
        <v>6000</v>
      </c>
      <c r="E182">
        <f t="shared" si="3"/>
        <v>6000</v>
      </c>
      <c r="F182">
        <f>D182 - VLOOKUP(B182,Articles!A:D,3,FALSE)</f>
        <v>3235</v>
      </c>
      <c r="G182">
        <f t="shared" si="4"/>
        <v>3235</v>
      </c>
    </row>
    <row r="183" spans="1:7" x14ac:dyDescent="0.2">
      <c r="B183" t="s">
        <v>190</v>
      </c>
      <c r="C183">
        <v>1</v>
      </c>
      <c r="D183">
        <v>2000</v>
      </c>
      <c r="E183">
        <f t="shared" si="3"/>
        <v>2000</v>
      </c>
      <c r="F183">
        <f>D183 - VLOOKUP(B183,Articles!A:D,3,FALSE)</f>
        <v>1358.5</v>
      </c>
      <c r="G183">
        <f t="shared" si="4"/>
        <v>1358.5</v>
      </c>
    </row>
    <row r="184" spans="1:7" x14ac:dyDescent="0.2">
      <c r="B184" t="s">
        <v>186</v>
      </c>
      <c r="C184">
        <v>1</v>
      </c>
      <c r="D184">
        <v>1500</v>
      </c>
      <c r="E184">
        <f t="shared" si="3"/>
        <v>1500</v>
      </c>
      <c r="F184">
        <f>D184 - VLOOKUP(B184,Articles!A:D,3,FALSE)</f>
        <v>750</v>
      </c>
      <c r="G184">
        <f t="shared" si="4"/>
        <v>750</v>
      </c>
    </row>
    <row r="185" spans="1:7" x14ac:dyDescent="0.2">
      <c r="B185" t="s">
        <v>186</v>
      </c>
      <c r="C185">
        <v>4</v>
      </c>
      <c r="D185">
        <v>1400</v>
      </c>
      <c r="E185">
        <f t="shared" si="3"/>
        <v>5600</v>
      </c>
      <c r="F185">
        <f>D185 - VLOOKUP(B185,Articles!A:D,3,FALSE)</f>
        <v>650</v>
      </c>
      <c r="G185">
        <f t="shared" si="4"/>
        <v>2600</v>
      </c>
    </row>
    <row r="186" spans="1:7" x14ac:dyDescent="0.2">
      <c r="B186" t="s">
        <v>174</v>
      </c>
      <c r="C186">
        <v>1</v>
      </c>
      <c r="D186">
        <v>6000</v>
      </c>
      <c r="E186">
        <f t="shared" si="3"/>
        <v>6000</v>
      </c>
      <c r="F186">
        <f>D186 - VLOOKUP(B186,Articles!A:D,3,FALSE)</f>
        <v>3172</v>
      </c>
      <c r="G186">
        <f t="shared" si="4"/>
        <v>3172</v>
      </c>
    </row>
    <row r="187" spans="1:7" x14ac:dyDescent="0.2">
      <c r="B187" t="s">
        <v>197</v>
      </c>
      <c r="C187">
        <v>1</v>
      </c>
      <c r="D187">
        <v>4000</v>
      </c>
      <c r="E187">
        <f t="shared" si="3"/>
        <v>4000</v>
      </c>
      <c r="F187">
        <f>D187 - VLOOKUP(B187,Articles!A:D,3,FALSE)</f>
        <v>2250</v>
      </c>
      <c r="G187">
        <f t="shared" si="4"/>
        <v>2250</v>
      </c>
    </row>
    <row r="188" spans="1:7" x14ac:dyDescent="0.2">
      <c r="B188" t="s">
        <v>182</v>
      </c>
      <c r="C188">
        <v>1</v>
      </c>
      <c r="D188">
        <v>9000</v>
      </c>
      <c r="E188">
        <f t="shared" si="3"/>
        <v>9000</v>
      </c>
      <c r="F188">
        <f>D188 - VLOOKUP(B188,Articles!A:D,3,FALSE)</f>
        <v>4870</v>
      </c>
      <c r="G188">
        <f t="shared" si="4"/>
        <v>4870</v>
      </c>
    </row>
    <row r="189" spans="1:7" x14ac:dyDescent="0.2">
      <c r="B189" t="s">
        <v>348</v>
      </c>
      <c r="C189">
        <v>2</v>
      </c>
      <c r="D189">
        <v>3500</v>
      </c>
      <c r="E189">
        <f t="shared" si="3"/>
        <v>7000</v>
      </c>
      <c r="F189">
        <f>D189 - VLOOKUP(B189,Articles!A:D,3,FALSE)</f>
        <v>1300</v>
      </c>
      <c r="G189">
        <f t="shared" si="4"/>
        <v>2600</v>
      </c>
    </row>
    <row r="190" spans="1:7" x14ac:dyDescent="0.2">
      <c r="B190" t="s">
        <v>348</v>
      </c>
      <c r="C190">
        <v>1</v>
      </c>
      <c r="D190">
        <v>3000</v>
      </c>
      <c r="E190">
        <f t="shared" si="3"/>
        <v>3000</v>
      </c>
      <c r="F190">
        <f>D190 - VLOOKUP(B190,Articles!A:D,3,FALSE)</f>
        <v>800</v>
      </c>
      <c r="G190">
        <f t="shared" si="4"/>
        <v>800</v>
      </c>
    </row>
    <row r="191" spans="1:7" x14ac:dyDescent="0.2">
      <c r="B191" t="s">
        <v>227</v>
      </c>
      <c r="C191">
        <v>1</v>
      </c>
      <c r="D191">
        <v>6500</v>
      </c>
      <c r="E191">
        <f t="shared" si="3"/>
        <v>6500</v>
      </c>
      <c r="F191">
        <f>D191 - VLOOKUP(B191,Articles!A:D,3,FALSE)</f>
        <v>3336</v>
      </c>
      <c r="G191">
        <f t="shared" si="4"/>
        <v>3336</v>
      </c>
    </row>
    <row r="192" spans="1:7" x14ac:dyDescent="0.2">
      <c r="A192" s="1">
        <v>45765</v>
      </c>
      <c r="B192" t="s">
        <v>198</v>
      </c>
      <c r="C192">
        <v>1</v>
      </c>
      <c r="D192">
        <v>7000</v>
      </c>
      <c r="E192">
        <f t="shared" si="3"/>
        <v>7000</v>
      </c>
      <c r="F192">
        <f>D192 - VLOOKUP(B192,Articles!A:D,3,FALSE)</f>
        <v>4753</v>
      </c>
      <c r="G192">
        <f t="shared" si="4"/>
        <v>4753</v>
      </c>
    </row>
    <row r="193" spans="1:7" x14ac:dyDescent="0.2">
      <c r="B193" t="s">
        <v>267</v>
      </c>
      <c r="C193">
        <v>1</v>
      </c>
      <c r="D193">
        <v>9500</v>
      </c>
      <c r="E193">
        <f t="shared" si="3"/>
        <v>9500</v>
      </c>
      <c r="F193">
        <f>D193 - VLOOKUP(B193,Articles!A:D,3,FALSE)</f>
        <v>4992</v>
      </c>
      <c r="G193">
        <f t="shared" si="4"/>
        <v>4992</v>
      </c>
    </row>
    <row r="194" spans="1:7" x14ac:dyDescent="0.2">
      <c r="B194" t="s">
        <v>227</v>
      </c>
      <c r="C194">
        <v>1</v>
      </c>
      <c r="D194">
        <v>6500</v>
      </c>
      <c r="E194">
        <f t="shared" si="3"/>
        <v>6500</v>
      </c>
      <c r="F194">
        <f>D194 - VLOOKUP(B194,Articles!A:D,3,FALSE)</f>
        <v>3336</v>
      </c>
      <c r="G194">
        <f t="shared" si="4"/>
        <v>3336</v>
      </c>
    </row>
    <row r="195" spans="1:7" x14ac:dyDescent="0.2">
      <c r="B195" t="s">
        <v>290</v>
      </c>
      <c r="C195">
        <v>1</v>
      </c>
      <c r="D195">
        <v>6500</v>
      </c>
      <c r="E195">
        <f t="shared" si="3"/>
        <v>6500</v>
      </c>
      <c r="F195">
        <f>D195 - VLOOKUP(B195,Articles!A:D,3,FALSE)</f>
        <v>3735</v>
      </c>
      <c r="G195">
        <f t="shared" ref="G195:G221" si="5">F195 * C195</f>
        <v>3735</v>
      </c>
    </row>
    <row r="196" spans="1:7" x14ac:dyDescent="0.2">
      <c r="B196" t="s">
        <v>308</v>
      </c>
      <c r="C196">
        <v>3</v>
      </c>
      <c r="D196">
        <v>3000</v>
      </c>
      <c r="E196">
        <f t="shared" si="3"/>
        <v>9000</v>
      </c>
      <c r="F196">
        <f>D196 - VLOOKUP(B196,Articles!A:D,3,FALSE)</f>
        <v>1493</v>
      </c>
      <c r="G196">
        <f t="shared" si="5"/>
        <v>4479</v>
      </c>
    </row>
    <row r="197" spans="1:7" x14ac:dyDescent="0.2">
      <c r="B197" t="s">
        <v>285</v>
      </c>
      <c r="C197">
        <v>1</v>
      </c>
      <c r="D197">
        <v>5000</v>
      </c>
      <c r="E197">
        <f t="shared" si="3"/>
        <v>5000</v>
      </c>
      <c r="F197">
        <f>D197 - VLOOKUP(B197,Articles!A:D,3,FALSE)</f>
        <v>2305</v>
      </c>
      <c r="G197">
        <f t="shared" si="5"/>
        <v>2305</v>
      </c>
    </row>
    <row r="198" spans="1:7" x14ac:dyDescent="0.2">
      <c r="B198" t="s">
        <v>242</v>
      </c>
      <c r="C198">
        <v>1</v>
      </c>
      <c r="D198">
        <v>6000</v>
      </c>
      <c r="E198">
        <f t="shared" si="3"/>
        <v>6000</v>
      </c>
      <c r="F198">
        <f>D198 - VLOOKUP(B198,Articles!A:D,3,FALSE)</f>
        <v>2500</v>
      </c>
      <c r="G198">
        <f t="shared" si="5"/>
        <v>2500</v>
      </c>
    </row>
    <row r="199" spans="1:7" x14ac:dyDescent="0.2">
      <c r="B199" t="s">
        <v>273</v>
      </c>
      <c r="C199">
        <v>2</v>
      </c>
      <c r="D199">
        <v>6000</v>
      </c>
      <c r="E199">
        <f t="shared" si="3"/>
        <v>12000</v>
      </c>
      <c r="F199">
        <f>D199 - VLOOKUP(B199,Articles!A:D,3,FALSE)</f>
        <v>3235</v>
      </c>
      <c r="G199">
        <f t="shared" si="5"/>
        <v>6470</v>
      </c>
    </row>
    <row r="200" spans="1:7" s="2" customFormat="1" x14ac:dyDescent="0.2">
      <c r="B200" s="2" t="s">
        <v>267</v>
      </c>
      <c r="C200" s="2">
        <v>1</v>
      </c>
      <c r="D200" s="2">
        <v>8500</v>
      </c>
      <c r="E200" s="2">
        <f t="shared" si="3"/>
        <v>8500</v>
      </c>
      <c r="F200" s="2">
        <f>D200 - VLOOKUP(B200,Articles!A:D,3,FALSE)</f>
        <v>3992</v>
      </c>
      <c r="G200" s="2">
        <f t="shared" si="5"/>
        <v>3992</v>
      </c>
    </row>
    <row r="201" spans="1:7" x14ac:dyDescent="0.2">
      <c r="B201" s="3" t="s">
        <v>189</v>
      </c>
      <c r="C201">
        <v>1</v>
      </c>
      <c r="D201">
        <v>1000</v>
      </c>
      <c r="E201">
        <f t="shared" si="3"/>
        <v>1000</v>
      </c>
      <c r="F201">
        <f>D201 - VLOOKUP(B201,Articles!A:D,3,FALSE)</f>
        <v>546.67000000000007</v>
      </c>
      <c r="G201">
        <f t="shared" si="5"/>
        <v>546.67000000000007</v>
      </c>
    </row>
    <row r="202" spans="1:7" x14ac:dyDescent="0.2">
      <c r="B202" t="s">
        <v>206</v>
      </c>
      <c r="C202">
        <v>1</v>
      </c>
      <c r="D202">
        <v>7000</v>
      </c>
      <c r="E202">
        <f t="shared" si="3"/>
        <v>7000</v>
      </c>
      <c r="F202">
        <f>D202 - VLOOKUP(B202,Articles!A:D,3,FALSE)</f>
        <v>3000</v>
      </c>
      <c r="G202">
        <f t="shared" si="5"/>
        <v>3000</v>
      </c>
    </row>
    <row r="203" spans="1:7" x14ac:dyDescent="0.2">
      <c r="B203" t="s">
        <v>227</v>
      </c>
      <c r="C203">
        <v>1</v>
      </c>
      <c r="D203">
        <v>5500</v>
      </c>
      <c r="E203">
        <f t="shared" si="3"/>
        <v>5500</v>
      </c>
      <c r="F203">
        <f>D203 - VLOOKUP(B203,Articles!A:D,3,FALSE)</f>
        <v>2336</v>
      </c>
      <c r="G203">
        <f t="shared" si="5"/>
        <v>2336</v>
      </c>
    </row>
    <row r="204" spans="1:7" x14ac:dyDescent="0.2">
      <c r="B204" t="s">
        <v>310</v>
      </c>
      <c r="C204">
        <v>1</v>
      </c>
      <c r="D204">
        <v>5000</v>
      </c>
      <c r="E204">
        <f t="shared" si="3"/>
        <v>5000</v>
      </c>
      <c r="F204">
        <f>D204 - VLOOKUP(B204,Articles!A:D,3,FALSE)</f>
        <v>1710</v>
      </c>
      <c r="G204">
        <f t="shared" si="5"/>
        <v>1710</v>
      </c>
    </row>
    <row r="205" spans="1:7" x14ac:dyDescent="0.2">
      <c r="B205" t="s">
        <v>277</v>
      </c>
      <c r="C205">
        <v>1</v>
      </c>
      <c r="D205">
        <v>5000</v>
      </c>
      <c r="E205">
        <f t="shared" si="3"/>
        <v>5000</v>
      </c>
      <c r="F205">
        <f>D205 - VLOOKUP(B205,Articles!A:D,3,FALSE)</f>
        <v>2235</v>
      </c>
      <c r="G205">
        <f t="shared" si="5"/>
        <v>2235</v>
      </c>
    </row>
    <row r="206" spans="1:7" s="2" customFormat="1" x14ac:dyDescent="0.2">
      <c r="B206" s="2" t="s">
        <v>192</v>
      </c>
      <c r="C206" s="2">
        <v>1</v>
      </c>
      <c r="D206" s="2">
        <v>7000</v>
      </c>
      <c r="E206" s="2">
        <f t="shared" si="3"/>
        <v>7000</v>
      </c>
      <c r="F206" s="2">
        <f>D206 - VLOOKUP(B206,Articles!A:D,3,FALSE)</f>
        <v>3542</v>
      </c>
      <c r="G206" s="2">
        <f t="shared" si="5"/>
        <v>3542</v>
      </c>
    </row>
    <row r="207" spans="1:7" x14ac:dyDescent="0.2">
      <c r="B207" t="s">
        <v>288</v>
      </c>
      <c r="C207">
        <v>1</v>
      </c>
      <c r="D207">
        <v>4000</v>
      </c>
      <c r="E207">
        <f t="shared" si="3"/>
        <v>4000</v>
      </c>
      <c r="F207">
        <f>D207 - VLOOKUP(B207,Articles!A:D,3,FALSE)</f>
        <v>2250</v>
      </c>
      <c r="G207">
        <f t="shared" si="5"/>
        <v>2250</v>
      </c>
    </row>
    <row r="208" spans="1:7" x14ac:dyDescent="0.2">
      <c r="A208" s="1">
        <v>45770</v>
      </c>
      <c r="B208" t="s">
        <v>186</v>
      </c>
      <c r="C208">
        <v>2</v>
      </c>
      <c r="D208">
        <v>1500</v>
      </c>
      <c r="E208">
        <f t="shared" si="3"/>
        <v>3000</v>
      </c>
      <c r="F208">
        <f>D208 - VLOOKUP(B208,Articles!A:D,3,FALSE)</f>
        <v>750</v>
      </c>
      <c r="G208">
        <f t="shared" si="5"/>
        <v>1500</v>
      </c>
    </row>
    <row r="209" spans="1:7" x14ac:dyDescent="0.2">
      <c r="A209" s="1">
        <v>45771</v>
      </c>
      <c r="B209" t="s">
        <v>235</v>
      </c>
      <c r="C209">
        <v>1</v>
      </c>
      <c r="D209">
        <v>7500</v>
      </c>
      <c r="E209">
        <f t="shared" si="3"/>
        <v>7500</v>
      </c>
      <c r="F209">
        <f>D209 - VLOOKUP(B209,Articles!A:D,3,FALSE)</f>
        <v>3750</v>
      </c>
      <c r="G209">
        <f t="shared" si="5"/>
        <v>3750</v>
      </c>
    </row>
    <row r="210" spans="1:7" x14ac:dyDescent="0.2">
      <c r="B210" t="s">
        <v>272</v>
      </c>
      <c r="C210">
        <v>1</v>
      </c>
      <c r="D210">
        <v>7000</v>
      </c>
      <c r="E210">
        <f t="shared" si="3"/>
        <v>7000</v>
      </c>
      <c r="F210">
        <f>D210 - VLOOKUP(B210,Articles!A:D,3,FALSE)</f>
        <v>3500</v>
      </c>
      <c r="G210">
        <f t="shared" si="5"/>
        <v>3500</v>
      </c>
    </row>
    <row r="211" spans="1:7" x14ac:dyDescent="0.2">
      <c r="B211" t="s">
        <v>322</v>
      </c>
      <c r="C211">
        <v>1</v>
      </c>
      <c r="D211">
        <v>11500</v>
      </c>
      <c r="E211">
        <f t="shared" si="3"/>
        <v>11500</v>
      </c>
      <c r="F211">
        <f>D211 - VLOOKUP(B211,Articles!A:D,3,FALSE)</f>
        <v>6040</v>
      </c>
      <c r="G211">
        <f t="shared" si="5"/>
        <v>6040</v>
      </c>
    </row>
    <row r="212" spans="1:7" x14ac:dyDescent="0.2">
      <c r="B212" t="s">
        <v>177</v>
      </c>
      <c r="C212">
        <v>1</v>
      </c>
      <c r="D212">
        <v>6500</v>
      </c>
      <c r="E212">
        <f t="shared" si="3"/>
        <v>6500</v>
      </c>
      <c r="F212">
        <f>D212 - VLOOKUP(B212,Articles!A:D,3,FALSE)</f>
        <v>3250</v>
      </c>
      <c r="G212">
        <f t="shared" si="5"/>
        <v>3250</v>
      </c>
    </row>
    <row r="213" spans="1:7" x14ac:dyDescent="0.2">
      <c r="B213" t="s">
        <v>304</v>
      </c>
      <c r="C213">
        <v>4</v>
      </c>
      <c r="D213">
        <v>2000</v>
      </c>
      <c r="E213">
        <f t="shared" si="3"/>
        <v>8000</v>
      </c>
      <c r="F213">
        <f>D213 - VLOOKUP(B213,Articles!A:D,3,FALSE)</f>
        <v>750</v>
      </c>
      <c r="G213">
        <f t="shared" si="5"/>
        <v>3000</v>
      </c>
    </row>
    <row r="214" spans="1:7" x14ac:dyDescent="0.2">
      <c r="B214" t="s">
        <v>331</v>
      </c>
      <c r="C214">
        <v>6</v>
      </c>
      <c r="D214">
        <v>334</v>
      </c>
      <c r="E214">
        <f t="shared" si="3"/>
        <v>2004</v>
      </c>
      <c r="F214">
        <f>D214 - VLOOKUP(B214,Articles!A:D,3,FALSE)</f>
        <v>167</v>
      </c>
      <c r="G214">
        <f t="shared" si="5"/>
        <v>1002</v>
      </c>
    </row>
    <row r="215" spans="1:7" x14ac:dyDescent="0.2">
      <c r="F215" t="e">
        <f>D215 - VLOOKUP(B215,Articles!A:D,3,FALSE)</f>
        <v>#N/A</v>
      </c>
      <c r="G215" t="e">
        <f t="shared" si="5"/>
        <v>#N/A</v>
      </c>
    </row>
    <row r="216" spans="1:7" x14ac:dyDescent="0.2">
      <c r="F216" t="e">
        <f>D216 - VLOOKUP(B216,Articles!A:D,3,FALSE)</f>
        <v>#N/A</v>
      </c>
      <c r="G216" t="e">
        <f t="shared" si="5"/>
        <v>#N/A</v>
      </c>
    </row>
    <row r="217" spans="1:7" x14ac:dyDescent="0.2">
      <c r="F217" t="e">
        <f>D217 - VLOOKUP(B217,Articles!A:D,3,FALSE)</f>
        <v>#N/A</v>
      </c>
      <c r="G217" t="e">
        <f t="shared" si="5"/>
        <v>#N/A</v>
      </c>
    </row>
    <row r="218" spans="1:7" x14ac:dyDescent="0.2">
      <c r="F218" t="e">
        <f>D218 - VLOOKUP(B218,Articles!A:D,3,FALSE)</f>
        <v>#N/A</v>
      </c>
      <c r="G218" t="e">
        <f t="shared" si="5"/>
        <v>#N/A</v>
      </c>
    </row>
    <row r="219" spans="1:7" x14ac:dyDescent="0.2">
      <c r="F219" t="e">
        <f>D219 - VLOOKUP(B219,Articles!A:D,3,FALSE)</f>
        <v>#N/A</v>
      </c>
      <c r="G219" t="e">
        <f t="shared" si="5"/>
        <v>#N/A</v>
      </c>
    </row>
    <row r="220" spans="1:7" x14ac:dyDescent="0.2">
      <c r="F220" t="e">
        <f>D220 - VLOOKUP(B220,Articles!A:D,3,FALSE)</f>
        <v>#N/A</v>
      </c>
      <c r="G220" t="e">
        <f t="shared" si="5"/>
        <v>#N/A</v>
      </c>
    </row>
    <row r="221" spans="1:7" x14ac:dyDescent="0.2">
      <c r="F221" t="e">
        <f>D221 - VLOOKUP(B221,Articles!A:D,3,FALSE)</f>
        <v>#N/A</v>
      </c>
      <c r="G221" t="e">
        <f t="shared" si="5"/>
        <v>#N/A</v>
      </c>
    </row>
    <row r="222" spans="1:7" x14ac:dyDescent="0.2">
      <c r="F222" t="e">
        <f>D222 - VLOOKUP(B222,Articles!A:D,3,FALSE)</f>
        <v>#N/A</v>
      </c>
    </row>
    <row r="223" spans="1:7" x14ac:dyDescent="0.2">
      <c r="F223" t="e">
        <f>D223 - VLOOKUP(B223,Articles!A:D,3,FALSE)</f>
        <v>#N/A</v>
      </c>
    </row>
    <row r="224" spans="1:7" x14ac:dyDescent="0.2">
      <c r="F224" t="e">
        <f>D224 - VLOOKUP(B224,Articles!A:D,3,FALSE)</f>
        <v>#N/A</v>
      </c>
    </row>
    <row r="225" spans="6:6" x14ac:dyDescent="0.2">
      <c r="F225" t="e">
        <f>D225 - VLOOKUP(B225,Articles!A:D,3,FALSE)</f>
        <v>#N/A</v>
      </c>
    </row>
    <row r="226" spans="6:6" x14ac:dyDescent="0.2">
      <c r="F226" t="e">
        <f>D226 - VLOOKUP(B226,Articles!A:D,3,FALSE)</f>
        <v>#N/A</v>
      </c>
    </row>
    <row r="227" spans="6:6" x14ac:dyDescent="0.2">
      <c r="F227" t="e">
        <f>D227 - VLOOKUP(B227,Articles!A:D,3,FALSE)</f>
        <v>#N/A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6"/>
  <sheetViews>
    <sheetView tabSelected="1" topLeftCell="D180" zoomScale="91" zoomScaleNormal="91" workbookViewId="0">
      <selection activeCell="J204" sqref="J204"/>
    </sheetView>
  </sheetViews>
  <sheetFormatPr defaultColWidth="9.14453125" defaultRowHeight="15" x14ac:dyDescent="0.2"/>
  <cols>
    <col min="2" max="2" width="43.046875" customWidth="1"/>
    <col min="3" max="4" width="13.31640625" customWidth="1"/>
    <col min="6" max="6" width="11.02734375" customWidth="1"/>
    <col min="7" max="7" width="10.35546875" customWidth="1"/>
  </cols>
  <sheetData>
    <row r="1" spans="1:7" x14ac:dyDescent="0.2">
      <c r="A1" t="s">
        <v>0</v>
      </c>
      <c r="B1" t="s">
        <v>1</v>
      </c>
      <c r="C1" t="s">
        <v>3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2">
      <c r="A2" t="s">
        <v>186</v>
      </c>
      <c r="B2" t="str">
        <f>VLOOKUP(A2,Articles!A:B,2,FALSE)</f>
        <v>BELLA BANDEAUX</v>
      </c>
      <c r="C2">
        <f>VLOOKUP(A2,Articles!A:D,4,FALSE)</f>
        <v>85</v>
      </c>
      <c r="D2">
        <f>SUMIFS(Ventes!C:C,Ventes!B:B,A2)</f>
        <v>60</v>
      </c>
      <c r="E2">
        <f>C2-D2</f>
        <v>25</v>
      </c>
      <c r="F2">
        <f>SUMIFS(Ventes!D:D,Ventes!B:B,A2)</f>
        <v>20500</v>
      </c>
      <c r="G2">
        <f>SUMIFS(Ventes!G:G,Ventes!B:B,A2)</f>
        <v>43000</v>
      </c>
    </row>
    <row r="3" spans="1:7" x14ac:dyDescent="0.2">
      <c r="A3" t="s">
        <v>238</v>
      </c>
      <c r="B3" t="str">
        <f>VLOOKUP(A3,Articles!A:B,2,FALSE)</f>
        <v>MC BARBO CM</v>
      </c>
      <c r="C3">
        <f>VLOOKUP(A3,Articles!A:D,4,FALSE)</f>
        <v>17</v>
      </c>
      <c r="D3">
        <f>SUMIFS(Ventes!C:C,Ventes!B:B,A3)</f>
        <v>5</v>
      </c>
      <c r="E3">
        <f>C3-D3</f>
        <v>12</v>
      </c>
      <c r="F3">
        <f>SUMIFS(Ventes!D:D,Ventes!B:B,A3)</f>
        <v>6000</v>
      </c>
      <c r="G3">
        <f>SUMIFS(Ventes!G:G,Ventes!B:B,A3)</f>
        <v>2500</v>
      </c>
    </row>
    <row r="4" spans="1:7" x14ac:dyDescent="0.2">
      <c r="A4" t="s">
        <v>189</v>
      </c>
      <c r="B4" t="str">
        <f>VLOOKUP(A4,Articles!A:B,2,FALSE)</f>
        <v>BELLA CHAUSSETTE BALLERINE</v>
      </c>
      <c r="C4">
        <f>VLOOKUP(A4,Articles!A:D,4,FALSE)</f>
        <v>60</v>
      </c>
      <c r="D4">
        <f>SUMIFS(Ventes!C:C,Ventes!B:B,A4)</f>
        <v>53</v>
      </c>
      <c r="E4">
        <f>C4-D4</f>
        <v>7</v>
      </c>
      <c r="F4">
        <f>SUMIFS(Ventes!D:D,Ventes!B:B,A4)</f>
        <v>12000</v>
      </c>
      <c r="G4">
        <f>SUMIFS(Ventes!G:G,Ventes!B:B,A4)</f>
        <v>28973.510000000002</v>
      </c>
    </row>
    <row r="5" spans="1:7" x14ac:dyDescent="0.2">
      <c r="A5" t="s">
        <v>289</v>
      </c>
      <c r="B5" t="str">
        <f>VLOOKUP(A5,Articles!A:B,2,FALSE)</f>
        <v xml:space="preserve">MURAT ROBE CŒUR </v>
      </c>
      <c r="C5">
        <f>VLOOKUP(A5,Articles!A:D,4,FALSE)</f>
        <v>10</v>
      </c>
      <c r="D5">
        <f>SUMIFS(Ventes!C:C,Ventes!B:B,A5)</f>
        <v>9</v>
      </c>
      <c r="E5">
        <f t="shared" ref="E5:E68" si="0">C5-D5</f>
        <v>1</v>
      </c>
      <c r="F5">
        <f>SUMIFS(Ventes!D:D,Ventes!B:B,A5)</f>
        <v>63000</v>
      </c>
      <c r="G5">
        <f>SUMIFS(Ventes!G:G,Ventes!B:B,A5)</f>
        <v>42125</v>
      </c>
    </row>
    <row r="6" spans="1:7" x14ac:dyDescent="0.2">
      <c r="A6" t="s">
        <v>190</v>
      </c>
      <c r="B6" t="str">
        <f>VLOOKUP(A6,Articles!A:B,2,FALSE)</f>
        <v>BELLA CHAUSSETTE COLLANT NŒUD</v>
      </c>
      <c r="C6">
        <f>VLOOKUP(A6,Articles!A:D,4,FALSE)</f>
        <v>71</v>
      </c>
      <c r="D6">
        <f>SUMIFS(Ventes!C:C,Ventes!B:B,A6)</f>
        <v>29</v>
      </c>
      <c r="E6">
        <f t="shared" si="0"/>
        <v>42</v>
      </c>
      <c r="F6">
        <f>SUMIFS(Ventes!D:D,Ventes!B:B,A6)</f>
        <v>19000</v>
      </c>
      <c r="G6">
        <f>SUMIFS(Ventes!G:G,Ventes!B:B,A6)</f>
        <v>34396.5</v>
      </c>
    </row>
    <row r="7" spans="1:7" x14ac:dyDescent="0.2">
      <c r="A7" t="s">
        <v>200</v>
      </c>
      <c r="B7" t="str">
        <f>VLOOKUP(A7,Articles!A:B,2,FALSE)</f>
        <v>COSAY ENS 03P GROS CŒUR</v>
      </c>
      <c r="C7">
        <f>VLOOKUP(A7,Articles!A:D,4,FALSE)</f>
        <v>3</v>
      </c>
      <c r="D7">
        <f>SUMIFS(Ventes!C:C,Ventes!B:B,A7)</f>
        <v>3</v>
      </c>
      <c r="E7">
        <f t="shared" si="0"/>
        <v>0</v>
      </c>
      <c r="F7">
        <f>SUMIFS(Ventes!D:D,Ventes!B:B,A7)</f>
        <v>24000</v>
      </c>
      <c r="G7">
        <f>SUMIFS(Ventes!G:G,Ventes!B:B,A7)</f>
        <v>12597</v>
      </c>
    </row>
    <row r="8" spans="1:7" x14ac:dyDescent="0.2">
      <c r="A8" t="s">
        <v>227</v>
      </c>
      <c r="B8" t="str">
        <f>VLOOKUP(A8,Articles!A:B,2,FALSE)</f>
        <v>KIDEX ROBE CHAPEAU PAILLE</v>
      </c>
      <c r="C8">
        <f>VLOOKUP(A8,Articles!A:D,4,FALSE)</f>
        <v>16</v>
      </c>
      <c r="D8">
        <f>SUMIFS(Ventes!C:C,Ventes!B:B,A8)</f>
        <v>15</v>
      </c>
      <c r="E8">
        <f t="shared" si="0"/>
        <v>1</v>
      </c>
      <c r="F8">
        <f>SUMIFS(Ventes!D:D,Ventes!B:B,A8)</f>
        <v>73500</v>
      </c>
      <c r="G8">
        <f>SUMIFS(Ventes!G:G,Ventes!B:B,A8)</f>
        <v>45040</v>
      </c>
    </row>
    <row r="9" spans="1:7" x14ac:dyDescent="0.2">
      <c r="A9" t="s">
        <v>229</v>
      </c>
      <c r="B9" t="str">
        <f>VLOOKUP(A9,Articles!A:B,2,FALSE)</f>
        <v>KITY SALOPETTE</v>
      </c>
      <c r="C9">
        <f>VLOOKUP(A9,Articles!A:D,4,FALSE)</f>
        <v>6</v>
      </c>
      <c r="D9">
        <f>SUMIFS(Ventes!C:C,Ventes!B:B,A9)</f>
        <v>6</v>
      </c>
      <c r="E9">
        <f t="shared" si="0"/>
        <v>0</v>
      </c>
      <c r="F9">
        <f>SUMIFS(Ventes!D:D,Ventes!B:B,A9)</f>
        <v>48500</v>
      </c>
      <c r="G9">
        <f>SUMIFS(Ventes!G:G,Ventes!B:B,A9)</f>
        <v>24308</v>
      </c>
    </row>
    <row r="10" spans="1:7" x14ac:dyDescent="0.2">
      <c r="A10" t="s">
        <v>321</v>
      </c>
      <c r="B10" t="str">
        <f>VLOOKUP(A10,Articles!A:B,2,FALSE)</f>
        <v>TIMO ROBE FLEURI ROSE</v>
      </c>
      <c r="C10">
        <f>VLOOKUP(A10,Articles!A:D,4,FALSE)</f>
        <v>4</v>
      </c>
      <c r="D10">
        <f>SUMIFS(Ventes!C:C,Ventes!B:B,A10)</f>
        <v>4</v>
      </c>
      <c r="E10">
        <f t="shared" si="0"/>
        <v>0</v>
      </c>
      <c r="F10">
        <f>SUMIFS(Ventes!D:D,Ventes!B:B,A10)</f>
        <v>26500</v>
      </c>
      <c r="G10">
        <f>SUMIFS(Ventes!G:G,Ventes!B:B,A10)</f>
        <v>17496</v>
      </c>
    </row>
    <row r="11" spans="1:7" x14ac:dyDescent="0.2">
      <c r="A11" t="s">
        <v>250</v>
      </c>
      <c r="B11" t="str">
        <f>VLOOKUP(A11,Articles!A:B,2,FALSE)</f>
        <v>MC COLLANT</v>
      </c>
      <c r="C11">
        <f>VLOOKUP(A11,Articles!A:D,4,FALSE)</f>
        <v>4</v>
      </c>
      <c r="D11">
        <f>SUMIFS(Ventes!C:C,Ventes!B:B,A11)</f>
        <v>8</v>
      </c>
      <c r="E11">
        <f t="shared" si="0"/>
        <v>-4</v>
      </c>
      <c r="F11">
        <f>SUMIFS(Ventes!D:D,Ventes!B:B,A11)</f>
        <v>5500</v>
      </c>
      <c r="G11">
        <f>SUMIFS(Ventes!G:G,Ventes!B:B,A11)</f>
        <v>4500</v>
      </c>
    </row>
    <row r="12" spans="1:7" x14ac:dyDescent="0.2">
      <c r="A12" t="s">
        <v>291</v>
      </c>
      <c r="B12" t="str">
        <f>VLOOKUP(A12,Articles!A:B,2,FALSE)</f>
        <v>MURAT ROBE JEAN DENTELLE HB</v>
      </c>
      <c r="C12">
        <f>VLOOKUP(A12,Articles!A:D,4,FALSE)</f>
        <v>4</v>
      </c>
      <c r="D12">
        <f>SUMIFS(Ventes!C:C,Ventes!B:B,A12)</f>
        <v>4</v>
      </c>
      <c r="E12">
        <f t="shared" si="0"/>
        <v>0</v>
      </c>
      <c r="F12">
        <f>SUMIFS(Ventes!D:D,Ventes!B:B,A12)</f>
        <v>19000</v>
      </c>
      <c r="G12">
        <f>SUMIFS(Ventes!G:G,Ventes!B:B,A12)</f>
        <v>13940</v>
      </c>
    </row>
    <row r="13" spans="1:7" x14ac:dyDescent="0.2">
      <c r="A13" t="s">
        <v>308</v>
      </c>
      <c r="B13" t="str">
        <f>VLOOKUP(A13,Articles!A:B,2,FALSE)</f>
        <v>NAY GREN SIMPLES</v>
      </c>
      <c r="C13">
        <f>VLOOKUP(A13,Articles!A:D,4,FALSE)</f>
        <v>78</v>
      </c>
      <c r="D13">
        <f>SUMIFS(Ventes!C:C,Ventes!B:B,A13)</f>
        <v>28</v>
      </c>
      <c r="E13">
        <f t="shared" si="0"/>
        <v>50</v>
      </c>
      <c r="F13">
        <f>SUMIFS(Ventes!D:D,Ventes!B:B,A13)</f>
        <v>28400</v>
      </c>
      <c r="G13">
        <f>SUMIFS(Ventes!G:G,Ventes!B:B,A13)</f>
        <v>44604</v>
      </c>
    </row>
    <row r="14" spans="1:7" x14ac:dyDescent="0.2">
      <c r="A14" t="s">
        <v>180</v>
      </c>
      <c r="B14" t="str">
        <f>VLOOKUP(A14,Articles!A:B,2,FALSE)</f>
        <v>BB CHERI BABY F ENS02P ROSE</v>
      </c>
      <c r="C14">
        <f>VLOOKUP(A14,Articles!A:D,4,FALSE)</f>
        <v>4</v>
      </c>
      <c r="D14">
        <f>SUMIFS(Ventes!C:C,Ventes!B:B,A14)</f>
        <v>2</v>
      </c>
      <c r="E14">
        <f t="shared" si="0"/>
        <v>2</v>
      </c>
      <c r="F14">
        <f>SUMIFS(Ventes!D:D,Ventes!B:B,A14)</f>
        <v>14500</v>
      </c>
      <c r="G14">
        <f>SUMIFS(Ventes!G:G,Ventes!B:B,A14)</f>
        <v>7500</v>
      </c>
    </row>
    <row r="15" spans="1:7" x14ac:dyDescent="0.2">
      <c r="A15" t="s">
        <v>182</v>
      </c>
      <c r="B15" t="str">
        <f>VLOOKUP(A15,Articles!A:B,2,FALSE)</f>
        <v xml:space="preserve">BB CHERI CANARIO 02P </v>
      </c>
      <c r="C15">
        <f>VLOOKUP(A15,Articles!A:D,4,FALSE)</f>
        <v>4</v>
      </c>
      <c r="D15">
        <f>SUMIFS(Ventes!C:C,Ventes!B:B,A15)</f>
        <v>3</v>
      </c>
      <c r="E15">
        <f t="shared" si="0"/>
        <v>1</v>
      </c>
      <c r="F15">
        <f>SUMIFS(Ventes!D:D,Ventes!B:B,A15)</f>
        <v>26000</v>
      </c>
      <c r="G15">
        <f>SUMIFS(Ventes!G:G,Ventes!B:B,A15)</f>
        <v>13610</v>
      </c>
    </row>
    <row r="16" spans="1:7" x14ac:dyDescent="0.2">
      <c r="A16" t="s">
        <v>207</v>
      </c>
      <c r="B16" t="str">
        <f>VLOOKUP(A16,Articles!A:B,2,FALSE)</f>
        <v>DAMLA ENS 02P ROSE PANTALON</v>
      </c>
      <c r="C16">
        <f>VLOOKUP(A16,Articles!A:D,4,FALSE)</f>
        <v>4</v>
      </c>
      <c r="D16">
        <f>SUMIFS(Ventes!C:C,Ventes!B:B,A16)</f>
        <v>3</v>
      </c>
      <c r="E16">
        <f t="shared" si="0"/>
        <v>1</v>
      </c>
      <c r="F16">
        <f>SUMIFS(Ventes!D:D,Ventes!B:B,A16)</f>
        <v>15000</v>
      </c>
      <c r="G16">
        <f>SUMIFS(Ventes!G:G,Ventes!B:B,A16)</f>
        <v>7356</v>
      </c>
    </row>
    <row r="17" spans="1:7" x14ac:dyDescent="0.2">
      <c r="A17" t="s">
        <v>238</v>
      </c>
      <c r="B17" t="str">
        <f>VLOOKUP(A17,Articles!A:B,2,FALSE)</f>
        <v>MC BARBO CM</v>
      </c>
      <c r="C17">
        <f>VLOOKUP(A17,Articles!A:D,4,FALSE)</f>
        <v>17</v>
      </c>
      <c r="D17">
        <f>SUMIFS(Ventes!C:C,Ventes!B:B,A17)</f>
        <v>5</v>
      </c>
      <c r="E17">
        <f t="shared" si="0"/>
        <v>12</v>
      </c>
      <c r="F17">
        <f>SUMIFS(Ventes!D:D,Ventes!B:B,A17)</f>
        <v>6000</v>
      </c>
      <c r="G17">
        <f>SUMIFS(Ventes!G:G,Ventes!B:B,A17)</f>
        <v>2500</v>
      </c>
    </row>
    <row r="18" spans="1:7" x14ac:dyDescent="0.2">
      <c r="A18" t="s">
        <v>275</v>
      </c>
      <c r="B18" t="str">
        <f>VLOOKUP(A18,Articles!A:B,2,FALSE)</f>
        <v>MURAT BARBO LM</v>
      </c>
      <c r="C18">
        <f>VLOOKUP(A18,Articles!A:D,4,FALSE)</f>
        <v>6</v>
      </c>
      <c r="D18">
        <f>SUMIFS(Ventes!C:C,Ventes!B:B,A18)</f>
        <v>4</v>
      </c>
      <c r="E18">
        <f t="shared" si="0"/>
        <v>2</v>
      </c>
      <c r="F18">
        <f>SUMIFS(Ventes!D:D,Ventes!B:B,A18)</f>
        <v>4500</v>
      </c>
      <c r="G18">
        <f>SUMIFS(Ventes!G:G,Ventes!B:B,A18)</f>
        <v>4000</v>
      </c>
    </row>
    <row r="19" spans="1:7" x14ac:dyDescent="0.2">
      <c r="A19" t="s">
        <v>186</v>
      </c>
      <c r="B19" t="str">
        <f>VLOOKUP(A19,Articles!A:B,2,FALSE)</f>
        <v>BELLA BANDEAUX</v>
      </c>
      <c r="C19">
        <f>VLOOKUP(A19,Articles!A:D,4,FALSE)</f>
        <v>85</v>
      </c>
      <c r="D19">
        <f>SUMIFS(Ventes!C:C,Ventes!B:B,A19)</f>
        <v>60</v>
      </c>
      <c r="E19">
        <f t="shared" si="0"/>
        <v>25</v>
      </c>
      <c r="F19">
        <f>SUMIFS(Ventes!D:D,Ventes!B:B,A19)</f>
        <v>20500</v>
      </c>
      <c r="G19">
        <f>SUMIFS(Ventes!G:G,Ventes!B:B,A19)</f>
        <v>43000</v>
      </c>
    </row>
    <row r="20" spans="1:7" x14ac:dyDescent="0.2">
      <c r="A20" t="s">
        <v>189</v>
      </c>
      <c r="B20" t="str">
        <f>VLOOKUP(A20,Articles!A:B,2,FALSE)</f>
        <v>BELLA CHAUSSETTE BALLERINE</v>
      </c>
      <c r="C20">
        <f>VLOOKUP(A20,Articles!A:D,4,FALSE)</f>
        <v>60</v>
      </c>
      <c r="D20">
        <f>SUMIFS(Ventes!C:C,Ventes!B:B,A20)</f>
        <v>53</v>
      </c>
      <c r="E20">
        <f t="shared" si="0"/>
        <v>7</v>
      </c>
      <c r="F20">
        <f>SUMIFS(Ventes!D:D,Ventes!B:B,A20)</f>
        <v>12000</v>
      </c>
      <c r="G20">
        <f>SUMIFS(Ventes!G:G,Ventes!B:B,A20)</f>
        <v>28973.510000000002</v>
      </c>
    </row>
    <row r="21" spans="1:7" x14ac:dyDescent="0.2">
      <c r="A21" t="s">
        <v>245</v>
      </c>
      <c r="B21" t="str">
        <f>VLOOKUP(A21,Articles!A:B,2,FALSE)</f>
        <v>MC BAVOIRS SIMPLES</v>
      </c>
      <c r="C21">
        <f>VLOOKUP(A21,Articles!A:D,4,FALSE)</f>
        <v>3</v>
      </c>
      <c r="D21">
        <f>SUMIFS(Ventes!C:C,Ventes!B:B,A21)</f>
        <v>1</v>
      </c>
      <c r="E21">
        <f t="shared" si="0"/>
        <v>2</v>
      </c>
      <c r="F21">
        <f>SUMIFS(Ventes!D:D,Ventes!B:B,A21)</f>
        <v>500</v>
      </c>
      <c r="G21">
        <f>SUMIFS(Ventes!G:G,Ventes!B:B,A21)</f>
        <v>125</v>
      </c>
    </row>
    <row r="22" spans="1:7" x14ac:dyDescent="0.2">
      <c r="A22" t="s">
        <v>250</v>
      </c>
      <c r="B22" t="str">
        <f>VLOOKUP(A22,Articles!A:B,2,FALSE)</f>
        <v>MC COLLANT</v>
      </c>
      <c r="C22">
        <f>VLOOKUP(A22,Articles!A:D,4,FALSE)</f>
        <v>4</v>
      </c>
      <c r="D22">
        <f>SUMIFS(Ventes!C:C,Ventes!B:B,A22)</f>
        <v>8</v>
      </c>
      <c r="E22">
        <f t="shared" si="0"/>
        <v>-4</v>
      </c>
      <c r="F22">
        <f>SUMIFS(Ventes!D:D,Ventes!B:B,A22)</f>
        <v>5500</v>
      </c>
      <c r="G22">
        <f>SUMIFS(Ventes!G:G,Ventes!B:B,A22)</f>
        <v>4500</v>
      </c>
    </row>
    <row r="23" spans="1:7" x14ac:dyDescent="0.2">
      <c r="A23" t="s">
        <v>262</v>
      </c>
      <c r="B23" t="str">
        <f>VLOOKUP(A23,Articles!A:B,2,FALSE)</f>
        <v>MINILOVE PANTALON</v>
      </c>
      <c r="C23">
        <f>VLOOKUP(A23,Articles!A:D,4,FALSE)</f>
        <v>24</v>
      </c>
      <c r="D23">
        <f>SUMIFS(Ventes!C:C,Ventes!B:B,A23)</f>
        <v>7</v>
      </c>
      <c r="E23">
        <f t="shared" si="0"/>
        <v>17</v>
      </c>
      <c r="F23">
        <f>SUMIFS(Ventes!D:D,Ventes!B:B,A23)</f>
        <v>7000</v>
      </c>
      <c r="G23">
        <f>SUMIFS(Ventes!G:G,Ventes!B:B,A23)</f>
        <v>6620</v>
      </c>
    </row>
    <row r="24" spans="1:7" x14ac:dyDescent="0.2">
      <c r="A24" t="s">
        <v>293</v>
      </c>
      <c r="B24" t="str">
        <f>VLOOKUP(A24,Articles!A:B,2,FALSE)</f>
        <v>MURAT SALOPETTE FILLE ORANGE</v>
      </c>
      <c r="C24">
        <f>VLOOKUP(A24,Articles!A:D,4,FALSE)</f>
        <v>4</v>
      </c>
      <c r="D24">
        <f>SUMIFS(Ventes!C:C,Ventes!B:B,A24)</f>
        <v>3</v>
      </c>
      <c r="E24">
        <f t="shared" si="0"/>
        <v>1</v>
      </c>
      <c r="F24">
        <f>SUMIFS(Ventes!D:D,Ventes!B:B,A24)</f>
        <v>14500</v>
      </c>
      <c r="G24">
        <f>SUMIFS(Ventes!G:G,Ventes!B:B,A24)</f>
        <v>7675</v>
      </c>
    </row>
    <row r="25" spans="1:7" x14ac:dyDescent="0.2">
      <c r="A25" t="s">
        <v>309</v>
      </c>
      <c r="B25" t="str">
        <f>VLOOKUP(A25,Articles!A:B,2,FALSE)</f>
        <v>NAY PANTALON</v>
      </c>
      <c r="C25">
        <f>VLOOKUP(A25,Articles!A:D,4,FALSE)</f>
        <v>2</v>
      </c>
      <c r="D25">
        <f>SUMIFS(Ventes!C:C,Ventes!B:B,A25)</f>
        <v>1</v>
      </c>
      <c r="E25">
        <f t="shared" si="0"/>
        <v>1</v>
      </c>
      <c r="F25">
        <f>SUMIFS(Ventes!D:D,Ventes!B:B,A25)</f>
        <v>2000</v>
      </c>
      <c r="G25">
        <f>SUMIFS(Ventes!G:G,Ventes!B:B,A25)</f>
        <v>1000</v>
      </c>
    </row>
    <row r="26" spans="1:7" s="2" customFormat="1" x14ac:dyDescent="0.2">
      <c r="A26" s="2" t="s">
        <v>291</v>
      </c>
      <c r="B26" s="2" t="str">
        <f>VLOOKUP(A26,Articles!A:B,2,FALSE)</f>
        <v>MURAT ROBE JEAN DENTELLE HB</v>
      </c>
      <c r="C26" s="2">
        <f>VLOOKUP(A26,Articles!A:D,4,FALSE)</f>
        <v>4</v>
      </c>
      <c r="D26" s="2">
        <f>SUMIFS(Ventes!C:C,Ventes!B:B,A26)</f>
        <v>4</v>
      </c>
      <c r="E26" s="2">
        <f t="shared" si="0"/>
        <v>0</v>
      </c>
      <c r="F26" s="2">
        <f>SUMIFS(Ventes!D:D,Ventes!B:B,A26)</f>
        <v>19000</v>
      </c>
      <c r="G26" s="2">
        <f>SUMIFS(Ventes!G:G,Ventes!B:B,A26)</f>
        <v>13940</v>
      </c>
    </row>
    <row r="27" spans="1:7" x14ac:dyDescent="0.2">
      <c r="A27" t="s">
        <v>331</v>
      </c>
      <c r="B27" t="str">
        <f>VLOOKUP(A27,Articles!A:B,2,FALSE)</f>
        <v>TURQUIE CHAUSSETTES</v>
      </c>
      <c r="C27">
        <f>VLOOKUP(A27,Articles!A:D,4,FALSE)</f>
        <v>20</v>
      </c>
      <c r="D27">
        <f>SUMIFS(Ventes!C:C,Ventes!B:B,A27)</f>
        <v>15</v>
      </c>
      <c r="E27">
        <f t="shared" si="0"/>
        <v>5</v>
      </c>
      <c r="F27">
        <f>SUMIFS(Ventes!D:D,Ventes!B:B,A27)</f>
        <v>1002</v>
      </c>
      <c r="G27">
        <f>SUMIFS(Ventes!G:G,Ventes!B:B,A27)</f>
        <v>2505</v>
      </c>
    </row>
    <row r="28" spans="1:7" x14ac:dyDescent="0.2">
      <c r="A28" t="s">
        <v>333</v>
      </c>
      <c r="B28" t="str">
        <f>VLOOKUP(A28,Articles!A:B,2,FALSE)</f>
        <v>MC SERVIETTES GM</v>
      </c>
      <c r="C28">
        <f>VLOOKUP(A28,Articles!A:D,4,FALSE)</f>
        <v>2</v>
      </c>
      <c r="D28">
        <f>SUMIFS(Ventes!C:C,Ventes!B:B,A28)</f>
        <v>1</v>
      </c>
      <c r="E28">
        <f t="shared" si="0"/>
        <v>1</v>
      </c>
      <c r="F28">
        <f>SUMIFS(Ventes!D:D,Ventes!B:B,A28)</f>
        <v>5000</v>
      </c>
      <c r="G28">
        <f>SUMIFS(Ventes!G:G,Ventes!B:B,A28)</f>
        <v>500</v>
      </c>
    </row>
    <row r="29" spans="1:7" x14ac:dyDescent="0.2">
      <c r="A29" t="s">
        <v>335</v>
      </c>
      <c r="B29" t="str">
        <f>VLOOKUP(A29,Articles!A:B,2,FALSE)</f>
        <v>MC SERVIETTES PM</v>
      </c>
      <c r="C29">
        <f>VLOOKUP(A29,Articles!A:D,4,FALSE)</f>
        <v>2</v>
      </c>
      <c r="D29">
        <f>SUMIFS(Ventes!C:C,Ventes!B:B,A29)</f>
        <v>1</v>
      </c>
      <c r="E29">
        <f t="shared" si="0"/>
        <v>1</v>
      </c>
      <c r="F29">
        <f>SUMIFS(Ventes!D:D,Ventes!B:B,A29)</f>
        <v>3500</v>
      </c>
      <c r="G29">
        <f>SUMIFS(Ventes!G:G,Ventes!B:B,A29)</f>
        <v>1000</v>
      </c>
    </row>
    <row r="30" spans="1:7" x14ac:dyDescent="0.2">
      <c r="A30" t="s">
        <v>194</v>
      </c>
      <c r="B30" t="str">
        <f>VLOOKUP(A30,Articles!A:B,2,FALSE)</f>
        <v>CHAPEAU SIMPLE NOURNOURS</v>
      </c>
      <c r="C30">
        <f>VLOOKUP(A30,Articles!A:D,4,FALSE)</f>
        <v>24</v>
      </c>
      <c r="D30">
        <f>SUMIFS(Ventes!C:C,Ventes!B:B,A30)</f>
        <v>5</v>
      </c>
      <c r="E30">
        <f t="shared" si="0"/>
        <v>19</v>
      </c>
      <c r="F30">
        <f>SUMIFS(Ventes!D:D,Ventes!B:B,A30)</f>
        <v>2100</v>
      </c>
      <c r="G30">
        <f>SUMIFS(Ventes!G:G,Ventes!B:B,A30)</f>
        <v>2207.5</v>
      </c>
    </row>
    <row r="31" spans="1:7" x14ac:dyDescent="0.2">
      <c r="A31" t="s">
        <v>289</v>
      </c>
      <c r="B31" t="str">
        <f>VLOOKUP(A31,Articles!A:B,2,FALSE)</f>
        <v xml:space="preserve">MURAT ROBE CŒUR </v>
      </c>
      <c r="C31">
        <f>VLOOKUP(A31,Articles!A:D,4,FALSE)</f>
        <v>10</v>
      </c>
      <c r="D31">
        <f>SUMIFS(Ventes!C:C,Ventes!B:B,A31)</f>
        <v>9</v>
      </c>
      <c r="E31">
        <f t="shared" si="0"/>
        <v>1</v>
      </c>
      <c r="F31">
        <f>SUMIFS(Ventes!D:D,Ventes!B:B,A31)</f>
        <v>63000</v>
      </c>
      <c r="G31">
        <f>SUMIFS(Ventes!G:G,Ventes!B:B,A31)</f>
        <v>42125</v>
      </c>
    </row>
    <row r="32" spans="1:7" x14ac:dyDescent="0.2">
      <c r="A32" t="s">
        <v>189</v>
      </c>
      <c r="B32" t="str">
        <f>VLOOKUP(A32,Articles!A:B,2,FALSE)</f>
        <v>BELLA CHAUSSETTE BALLERINE</v>
      </c>
      <c r="C32">
        <f>VLOOKUP(A32,Articles!A:D,4,FALSE)</f>
        <v>60</v>
      </c>
      <c r="D32">
        <f>SUMIFS(Ventes!C:C,Ventes!B:B,A32)</f>
        <v>53</v>
      </c>
      <c r="E32">
        <f t="shared" si="0"/>
        <v>7</v>
      </c>
      <c r="F32">
        <f>SUMIFS(Ventes!D:D,Ventes!B:B,A32)</f>
        <v>12000</v>
      </c>
      <c r="G32">
        <f>SUMIFS(Ventes!G:G,Ventes!B:B,A32)</f>
        <v>28973.510000000002</v>
      </c>
    </row>
    <row r="33" spans="1:7" x14ac:dyDescent="0.2">
      <c r="A33" t="s">
        <v>197</v>
      </c>
      <c r="B33" t="str">
        <f>VLOOKUP(A33,Articles!A:B,2,FALSE)</f>
        <v>CHAUSSETTE BOX 5</v>
      </c>
      <c r="C33">
        <f>VLOOKUP(A33,Articles!A:D,4,FALSE)</f>
        <v>3</v>
      </c>
      <c r="D33">
        <f>SUMIFS(Ventes!C:C,Ventes!B:B,A33)</f>
        <v>2</v>
      </c>
      <c r="E33">
        <f t="shared" si="0"/>
        <v>1</v>
      </c>
      <c r="F33">
        <f>SUMIFS(Ventes!D:D,Ventes!B:B,A33)</f>
        <v>7500</v>
      </c>
      <c r="G33">
        <f>SUMIFS(Ventes!G:G,Ventes!B:B,A33)</f>
        <v>4000</v>
      </c>
    </row>
    <row r="34" spans="1:7" x14ac:dyDescent="0.2">
      <c r="A34" t="s">
        <v>278</v>
      </c>
      <c r="B34" t="str">
        <f>VLOOKUP(A34,Articles!A:B,2,FALSE)</f>
        <v>MURAT ENS 02P HAUT VERT GARCON</v>
      </c>
      <c r="C34">
        <f>VLOOKUP(A34,Articles!A:D,4,FALSE)</f>
        <v>4</v>
      </c>
      <c r="D34">
        <f>SUMIFS(Ventes!C:C,Ventes!B:B,A34)</f>
        <v>2</v>
      </c>
      <c r="E34">
        <f t="shared" si="0"/>
        <v>2</v>
      </c>
      <c r="F34">
        <f>SUMIFS(Ventes!D:D,Ventes!B:B,A34)</f>
        <v>11000</v>
      </c>
      <c r="G34">
        <f>SUMIFS(Ventes!G:G,Ventes!B:B,A34)</f>
        <v>5890</v>
      </c>
    </row>
    <row r="35" spans="1:7" x14ac:dyDescent="0.2">
      <c r="A35" t="s">
        <v>184</v>
      </c>
      <c r="B35" t="str">
        <f>VLOOKUP(A35,Articles!A:B,2,FALSE)</f>
        <v>BEBEDEXS 0904 ENS LIN PANTALON</v>
      </c>
      <c r="C35">
        <f>VLOOKUP(A35,Articles!A:D,4,FALSE)</f>
        <v>2</v>
      </c>
      <c r="D35">
        <f>SUMIFS(Ventes!C:C,Ventes!B:B,A35)</f>
        <v>1</v>
      </c>
      <c r="E35">
        <f t="shared" si="0"/>
        <v>1</v>
      </c>
      <c r="F35">
        <f>SUMIFS(Ventes!D:D,Ventes!B:B,A35)</f>
        <v>8000</v>
      </c>
      <c r="G35">
        <f>SUMIFS(Ventes!G:G,Ventes!B:B,A35)</f>
        <v>4260</v>
      </c>
    </row>
    <row r="36" spans="1:7" x14ac:dyDescent="0.2">
      <c r="A36" t="s">
        <v>229</v>
      </c>
      <c r="B36" t="str">
        <f>VLOOKUP(A36,Articles!A:B,2,FALSE)</f>
        <v>KITY SALOPETTE</v>
      </c>
      <c r="C36">
        <f>VLOOKUP(A36,Articles!A:D,4,FALSE)</f>
        <v>6</v>
      </c>
      <c r="D36">
        <f>SUMIFS(Ventes!C:C,Ventes!B:B,A36)</f>
        <v>6</v>
      </c>
      <c r="E36">
        <f t="shared" si="0"/>
        <v>0</v>
      </c>
      <c r="F36">
        <f>SUMIFS(Ventes!D:D,Ventes!B:B,A36)</f>
        <v>48500</v>
      </c>
      <c r="G36">
        <f>SUMIFS(Ventes!G:G,Ventes!B:B,A36)</f>
        <v>24308</v>
      </c>
    </row>
    <row r="37" spans="1:7" x14ac:dyDescent="0.2">
      <c r="A37" t="s">
        <v>175</v>
      </c>
      <c r="B37" t="str">
        <f>VLOOKUP(A37,Articles!A:B,2,FALSE)</f>
        <v>BABYGO ENS 02P MARRON GARCON</v>
      </c>
      <c r="C37">
        <f>VLOOKUP(A37,Articles!A:D,4,FALSE)</f>
        <v>4</v>
      </c>
      <c r="D37">
        <f>SUMIFS(Ventes!C:C,Ventes!B:B,A37)</f>
        <v>1</v>
      </c>
      <c r="E37">
        <f t="shared" si="0"/>
        <v>3</v>
      </c>
      <c r="F37">
        <f>SUMIFS(Ventes!D:D,Ventes!B:B,A37)</f>
        <v>6000</v>
      </c>
      <c r="G37">
        <f>SUMIFS(Ventes!G:G,Ventes!B:B,A37)</f>
        <v>3207</v>
      </c>
    </row>
    <row r="38" spans="1:7" x14ac:dyDescent="0.2">
      <c r="A38" t="s">
        <v>277</v>
      </c>
      <c r="B38" t="str">
        <f>VLOOKUP(A38,Articles!A:B,2,FALSE)</f>
        <v>MURAT ENS 02P GARCON PAN  HAUT ORANGE</v>
      </c>
      <c r="C38">
        <f>VLOOKUP(A38,Articles!A:D,4,FALSE)</f>
        <v>4</v>
      </c>
      <c r="D38">
        <f>SUMIFS(Ventes!C:C,Ventes!B:B,A38)</f>
        <v>3</v>
      </c>
      <c r="E38">
        <f t="shared" si="0"/>
        <v>1</v>
      </c>
      <c r="F38">
        <f>SUMIFS(Ventes!D:D,Ventes!B:B,A38)</f>
        <v>17500</v>
      </c>
      <c r="G38">
        <f>SUMIFS(Ventes!G:G,Ventes!B:B,A38)</f>
        <v>9205</v>
      </c>
    </row>
    <row r="39" spans="1:7" x14ac:dyDescent="0.2">
      <c r="A39" t="s">
        <v>259</v>
      </c>
      <c r="B39" t="str">
        <f>VLOOKUP(A39,Articles!A:B,2,FALSE)</f>
        <v>MINILOVE ENS 02P NAISS BLANC</v>
      </c>
      <c r="C39">
        <f>VLOOKUP(A39,Articles!A:D,4,FALSE)</f>
        <v>6</v>
      </c>
      <c r="D39">
        <f>SUMIFS(Ventes!C:C,Ventes!B:B,A39)</f>
        <v>3</v>
      </c>
      <c r="E39">
        <f t="shared" si="0"/>
        <v>3</v>
      </c>
      <c r="F39">
        <f>SUMIFS(Ventes!D:D,Ventes!B:B,A39)</f>
        <v>15500</v>
      </c>
      <c r="G39">
        <f>SUMIFS(Ventes!G:G,Ventes!B:B,A39)</f>
        <v>8696</v>
      </c>
    </row>
    <row r="40" spans="1:7" x14ac:dyDescent="0.2">
      <c r="A40" t="s">
        <v>174</v>
      </c>
      <c r="B40" t="str">
        <f>VLOOKUP(A40,Articles!A:B,2,FALSE)</f>
        <v>BABYBUU ROBE</v>
      </c>
      <c r="C40">
        <f>VLOOKUP(A40,Articles!A:D,4,FALSE)</f>
        <v>12</v>
      </c>
      <c r="D40">
        <f>SUMIFS(Ventes!C:C,Ventes!B:B,A40)</f>
        <v>11</v>
      </c>
      <c r="E40">
        <f t="shared" si="0"/>
        <v>1</v>
      </c>
      <c r="F40">
        <f>SUMIFS(Ventes!D:D,Ventes!B:B,A40)</f>
        <v>47000</v>
      </c>
      <c r="G40">
        <f>SUMIFS(Ventes!G:G,Ventes!B:B,A40)</f>
        <v>33892</v>
      </c>
    </row>
    <row r="41" spans="1:7" x14ac:dyDescent="0.2">
      <c r="A41" t="s">
        <v>289</v>
      </c>
      <c r="B41" t="str">
        <f>VLOOKUP(A41,Articles!A:B,2,FALSE)</f>
        <v xml:space="preserve">MURAT ROBE CŒUR </v>
      </c>
      <c r="C41">
        <f>VLOOKUP(A41,Articles!A:D,4,FALSE)</f>
        <v>10</v>
      </c>
      <c r="D41">
        <f>SUMIFS(Ventes!C:C,Ventes!B:B,A41)</f>
        <v>9</v>
      </c>
      <c r="E41">
        <f t="shared" si="0"/>
        <v>1</v>
      </c>
      <c r="F41">
        <f>SUMIFS(Ventes!D:D,Ventes!B:B,A41)</f>
        <v>63000</v>
      </c>
      <c r="G41">
        <f>SUMIFS(Ventes!G:G,Ventes!B:B,A41)</f>
        <v>42125</v>
      </c>
    </row>
    <row r="42" spans="1:7" x14ac:dyDescent="0.2">
      <c r="A42" t="s">
        <v>285</v>
      </c>
      <c r="B42" t="str">
        <f>VLOOKUP(A42,Articles!A:B,2,FALSE)</f>
        <v>MURAT MINI COMBI CŒUR</v>
      </c>
      <c r="C42">
        <f>VLOOKUP(A42,Articles!A:D,4,FALSE)</f>
        <v>4</v>
      </c>
      <c r="D42">
        <f>SUMIFS(Ventes!C:C,Ventes!B:B,A42)</f>
        <v>4</v>
      </c>
      <c r="E42">
        <f t="shared" si="0"/>
        <v>0</v>
      </c>
      <c r="F42">
        <f>SUMIFS(Ventes!D:D,Ventes!B:B,A42)</f>
        <v>15500</v>
      </c>
      <c r="G42">
        <f>SUMIFS(Ventes!G:G,Ventes!B:B,A42)</f>
        <v>10220</v>
      </c>
    </row>
    <row r="43" spans="1:7" x14ac:dyDescent="0.2">
      <c r="A43" t="s">
        <v>267</v>
      </c>
      <c r="B43" t="str">
        <f>VLOOKUP(A43,Articles!A:B,2,FALSE)</f>
        <v>MINIZEO ROBE SALOPETTE</v>
      </c>
      <c r="C43">
        <f>VLOOKUP(A43,Articles!A:D,4,FALSE)</f>
        <v>4</v>
      </c>
      <c r="D43">
        <f>SUMIFS(Ventes!C:C,Ventes!B:B,A43)</f>
        <v>4</v>
      </c>
      <c r="E43">
        <f t="shared" si="0"/>
        <v>0</v>
      </c>
      <c r="F43">
        <f>SUMIFS(Ventes!D:D,Ventes!B:B,A43)</f>
        <v>27000</v>
      </c>
      <c r="G43">
        <f>SUMIFS(Ventes!G:G,Ventes!B:B,A43)</f>
        <v>17968</v>
      </c>
    </row>
    <row r="44" spans="1:7" x14ac:dyDescent="0.2">
      <c r="A44" t="s">
        <v>321</v>
      </c>
      <c r="B44" t="str">
        <f>VLOOKUP(A44,Articles!A:B,2,FALSE)</f>
        <v>TIMO ROBE FLEURI ROSE</v>
      </c>
      <c r="C44">
        <f>VLOOKUP(A44,Articles!A:D,4,FALSE)</f>
        <v>4</v>
      </c>
      <c r="D44">
        <f>SUMIFS(Ventes!C:C,Ventes!B:B,A44)</f>
        <v>4</v>
      </c>
      <c r="E44">
        <f t="shared" si="0"/>
        <v>0</v>
      </c>
      <c r="F44">
        <f>SUMIFS(Ventes!D:D,Ventes!B:B,A44)</f>
        <v>26500</v>
      </c>
      <c r="G44">
        <f>SUMIFS(Ventes!G:G,Ventes!B:B,A44)</f>
        <v>17496</v>
      </c>
    </row>
    <row r="45" spans="1:7" x14ac:dyDescent="0.2">
      <c r="A45" t="s">
        <v>227</v>
      </c>
      <c r="B45" t="str">
        <f>VLOOKUP(A45,Articles!A:B,2,FALSE)</f>
        <v>KIDEX ROBE CHAPEAU PAILLE</v>
      </c>
      <c r="C45">
        <f>VLOOKUP(A45,Articles!A:D,4,FALSE)</f>
        <v>16</v>
      </c>
      <c r="D45">
        <f>SUMIFS(Ventes!C:C,Ventes!B:B,A45)</f>
        <v>15</v>
      </c>
      <c r="E45">
        <f t="shared" si="0"/>
        <v>1</v>
      </c>
      <c r="F45">
        <f>SUMIFS(Ventes!D:D,Ventes!B:B,A45)</f>
        <v>73500</v>
      </c>
      <c r="G45">
        <f>SUMIFS(Ventes!G:G,Ventes!B:B,A45)</f>
        <v>45040</v>
      </c>
    </row>
    <row r="46" spans="1:7" x14ac:dyDescent="0.2">
      <c r="A46" t="s">
        <v>314</v>
      </c>
      <c r="B46" t="str">
        <f>VLOOKUP(A46,Articles!A:B,2,FALSE)</f>
        <v>NONO ROBE FLEURIE</v>
      </c>
      <c r="C46">
        <f>VLOOKUP(A46,Articles!A:D,4,FALSE)</f>
        <v>4</v>
      </c>
      <c r="D46">
        <f>SUMIFS(Ventes!C:C,Ventes!B:B,A46)</f>
        <v>3</v>
      </c>
      <c r="E46">
        <f t="shared" si="0"/>
        <v>1</v>
      </c>
      <c r="F46">
        <f>SUMIFS(Ventes!D:D,Ventes!B:B,A46)</f>
        <v>17000</v>
      </c>
      <c r="G46">
        <f>SUMIFS(Ventes!G:G,Ventes!B:B,A46)</f>
        <v>12480</v>
      </c>
    </row>
    <row r="47" spans="1:7" x14ac:dyDescent="0.2">
      <c r="A47" t="s">
        <v>256</v>
      </c>
      <c r="B47" t="str">
        <f>VLOOKUP(A47,Articles!A:B,2,FALSE)</f>
        <v xml:space="preserve">MINI EMLEX ROBE ROSE </v>
      </c>
      <c r="C47">
        <f>VLOOKUP(A47,Articles!A:D,4,FALSE)</f>
        <v>3</v>
      </c>
      <c r="D47">
        <f>SUMIFS(Ventes!C:C,Ventes!B:B,A47)</f>
        <v>3</v>
      </c>
      <c r="E47">
        <f t="shared" si="0"/>
        <v>0</v>
      </c>
      <c r="F47">
        <f>SUMIFS(Ventes!D:D,Ventes!B:B,A47)</f>
        <v>15000</v>
      </c>
      <c r="G47">
        <f>SUMIFS(Ventes!G:G,Ventes!B:B,A47)</f>
        <v>11475</v>
      </c>
    </row>
    <row r="48" spans="1:7" s="2" customFormat="1" x14ac:dyDescent="0.2">
      <c r="A48" s="2" t="s">
        <v>291</v>
      </c>
      <c r="B48" s="2" t="str">
        <f>VLOOKUP(A48,Articles!A:B,2,FALSE)</f>
        <v>MURAT ROBE JEAN DENTELLE HB</v>
      </c>
      <c r="C48" s="2">
        <f>VLOOKUP(A48,Articles!A:D,4,FALSE)</f>
        <v>4</v>
      </c>
      <c r="D48" s="2">
        <f>SUMIFS(Ventes!C:C,Ventes!B:B,A48)</f>
        <v>4</v>
      </c>
      <c r="E48" s="2">
        <f t="shared" si="0"/>
        <v>0</v>
      </c>
      <c r="F48" s="2">
        <f>SUMIFS(Ventes!D:D,Ventes!B:B,A48)</f>
        <v>19000</v>
      </c>
      <c r="G48" s="2">
        <f>SUMIFS(Ventes!G:G,Ventes!B:B,A48)</f>
        <v>13940</v>
      </c>
    </row>
    <row r="49" spans="1:7" x14ac:dyDescent="0.2">
      <c r="A49" t="s">
        <v>209</v>
      </c>
      <c r="B49" t="str">
        <f>VLOOKUP(A49,Articles!A:B,2,FALSE)</f>
        <v>DAMLA ENS 02P VERT CULOTTE FILLE</v>
      </c>
      <c r="C49">
        <f>VLOOKUP(A49,Articles!A:D,4,FALSE)</f>
        <v>4</v>
      </c>
      <c r="D49">
        <f>SUMIFS(Ventes!C:C,Ventes!B:B,A49)</f>
        <v>3</v>
      </c>
      <c r="E49">
        <f t="shared" si="0"/>
        <v>1</v>
      </c>
      <c r="F49">
        <f>SUMIFS(Ventes!D:D,Ventes!B:B,A49)</f>
        <v>12000</v>
      </c>
      <c r="G49">
        <f>SUMIFS(Ventes!G:G,Ventes!B:B,A49)</f>
        <v>9827</v>
      </c>
    </row>
    <row r="50" spans="1:7" x14ac:dyDescent="0.2">
      <c r="A50" t="s">
        <v>192</v>
      </c>
      <c r="B50" t="str">
        <f>VLOOKUP(A50,Articles!A:B,2,FALSE)</f>
        <v>CARNAVAL ENS 02P JAUNE MOURTADE FILLE</v>
      </c>
      <c r="C50">
        <f>VLOOKUP(A50,Articles!A:D,4,FALSE)</f>
        <v>3</v>
      </c>
      <c r="D50">
        <f>SUMIFS(Ventes!C:C,Ventes!B:B,A50)</f>
        <v>3</v>
      </c>
      <c r="E50">
        <f t="shared" si="0"/>
        <v>0</v>
      </c>
      <c r="F50">
        <f>SUMIFS(Ventes!D:D,Ventes!B:B,A50)</f>
        <v>14000</v>
      </c>
      <c r="G50">
        <f>SUMIFS(Ventes!G:G,Ventes!B:B,A50)</f>
        <v>10626</v>
      </c>
    </row>
    <row r="51" spans="1:7" x14ac:dyDescent="0.2">
      <c r="A51" t="s">
        <v>189</v>
      </c>
      <c r="B51" t="str">
        <f>VLOOKUP(A51,Articles!A:B,2,FALSE)</f>
        <v>BELLA CHAUSSETTE BALLERINE</v>
      </c>
      <c r="C51">
        <f>VLOOKUP(A51,Articles!A:D,4,FALSE)</f>
        <v>60</v>
      </c>
      <c r="D51">
        <f>SUMIFS(Ventes!C:C,Ventes!B:B,A51)</f>
        <v>53</v>
      </c>
      <c r="E51">
        <f t="shared" si="0"/>
        <v>7</v>
      </c>
      <c r="F51">
        <f>SUMIFS(Ventes!D:D,Ventes!B:B,A51)</f>
        <v>12000</v>
      </c>
      <c r="G51">
        <f>SUMIFS(Ventes!G:G,Ventes!B:B,A51)</f>
        <v>28973.510000000002</v>
      </c>
    </row>
    <row r="52" spans="1:7" x14ac:dyDescent="0.2">
      <c r="A52" t="s">
        <v>179</v>
      </c>
      <c r="B52" t="str">
        <f>VLOOKUP(A52,Articles!A:B,2,FALSE)</f>
        <v>BB CHERI BABY F ENS 02P</v>
      </c>
      <c r="C52">
        <f>VLOOKUP(A52,Articles!A:D,4,FALSE)</f>
        <v>2</v>
      </c>
      <c r="D52">
        <f>SUMIFS(Ventes!C:C,Ventes!B:B,A52)</f>
        <v>1</v>
      </c>
      <c r="E52">
        <f t="shared" si="0"/>
        <v>1</v>
      </c>
      <c r="F52">
        <f>SUMIFS(Ventes!D:D,Ventes!B:B,A52)</f>
        <v>8500</v>
      </c>
      <c r="G52">
        <f>SUMIFS(Ventes!G:G,Ventes!B:B,A52)</f>
        <v>4000</v>
      </c>
    </row>
    <row r="53" spans="1:7" x14ac:dyDescent="0.2">
      <c r="A53" t="s">
        <v>227</v>
      </c>
      <c r="B53" t="str">
        <f>VLOOKUP(A53,Articles!A:B,2,FALSE)</f>
        <v>KIDEX ROBE CHAPEAU PAILLE</v>
      </c>
      <c r="C53">
        <f>VLOOKUP(A53,Articles!A:D,4,FALSE)</f>
        <v>16</v>
      </c>
      <c r="D53">
        <f>SUMIFS(Ventes!C:C,Ventes!B:B,A53)</f>
        <v>15</v>
      </c>
      <c r="E53">
        <f t="shared" si="0"/>
        <v>1</v>
      </c>
      <c r="F53">
        <f>SUMIFS(Ventes!D:D,Ventes!B:B,A53)</f>
        <v>73500</v>
      </c>
      <c r="G53">
        <f>SUMIFS(Ventes!G:G,Ventes!B:B,A53)</f>
        <v>45040</v>
      </c>
    </row>
    <row r="54" spans="1:7" x14ac:dyDescent="0.2">
      <c r="A54" t="s">
        <v>229</v>
      </c>
      <c r="B54" t="str">
        <f>VLOOKUP(A54,Articles!A:B,2,FALSE)</f>
        <v>KITY SALOPETTE</v>
      </c>
      <c r="C54">
        <f>VLOOKUP(A54,Articles!A:D,4,FALSE)</f>
        <v>6</v>
      </c>
      <c r="D54">
        <f>SUMIFS(Ventes!C:C,Ventes!B:B,A54)</f>
        <v>6</v>
      </c>
      <c r="E54">
        <f t="shared" si="0"/>
        <v>0</v>
      </c>
      <c r="F54">
        <f>SUMIFS(Ventes!D:D,Ventes!B:B,A54)</f>
        <v>48500</v>
      </c>
      <c r="G54">
        <f>SUMIFS(Ventes!G:G,Ventes!B:B,A54)</f>
        <v>24308</v>
      </c>
    </row>
    <row r="55" spans="1:7" x14ac:dyDescent="0.2">
      <c r="A55" t="s">
        <v>320</v>
      </c>
      <c r="B55" t="str">
        <f>VLOOKUP(A55,Articles!A:B,2,FALSE)</f>
        <v>SHEIN ENS FILLE CULOTTE JEAN</v>
      </c>
      <c r="C55">
        <f>VLOOKUP(A55,Articles!A:D,4,FALSE)</f>
        <v>1</v>
      </c>
      <c r="D55">
        <f>SUMIFS(Ventes!C:C,Ventes!B:B,A55)</f>
        <v>1</v>
      </c>
      <c r="E55">
        <f t="shared" si="0"/>
        <v>0</v>
      </c>
      <c r="F55">
        <f>SUMIFS(Ventes!D:D,Ventes!B:B,A55)</f>
        <v>6000</v>
      </c>
      <c r="G55">
        <f>SUMIFS(Ventes!G:G,Ventes!B:B,A55)</f>
        <v>3000</v>
      </c>
    </row>
    <row r="56" spans="1:7" x14ac:dyDescent="0.2">
      <c r="A56" t="s">
        <v>250</v>
      </c>
      <c r="B56" t="str">
        <f>VLOOKUP(A56,Articles!A:B,2,FALSE)</f>
        <v>MC COLLANT</v>
      </c>
      <c r="C56">
        <f>VLOOKUP(A56,Articles!A:D,4,FALSE)</f>
        <v>4</v>
      </c>
      <c r="D56">
        <f>SUMIFS(Ventes!C:C,Ventes!B:B,A56)</f>
        <v>8</v>
      </c>
      <c r="E56">
        <f t="shared" si="0"/>
        <v>-4</v>
      </c>
      <c r="F56">
        <f>SUMIFS(Ventes!D:D,Ventes!B:B,A56)</f>
        <v>5500</v>
      </c>
      <c r="G56">
        <f>SUMIFS(Ventes!G:G,Ventes!B:B,A56)</f>
        <v>4500</v>
      </c>
    </row>
    <row r="57" spans="1:7" x14ac:dyDescent="0.2">
      <c r="A57" t="s">
        <v>190</v>
      </c>
      <c r="B57" t="str">
        <f>VLOOKUP(A57,Articles!A:B,2,FALSE)</f>
        <v>BELLA CHAUSSETTE COLLANT NŒUD</v>
      </c>
      <c r="C57">
        <f>VLOOKUP(A57,Articles!A:D,4,FALSE)</f>
        <v>71</v>
      </c>
      <c r="D57">
        <f>SUMIFS(Ventes!C:C,Ventes!B:B,A57)</f>
        <v>29</v>
      </c>
      <c r="E57">
        <f t="shared" si="0"/>
        <v>42</v>
      </c>
      <c r="F57">
        <f>SUMIFS(Ventes!D:D,Ventes!B:B,A57)</f>
        <v>19000</v>
      </c>
      <c r="G57">
        <f>SUMIFS(Ventes!G:G,Ventes!B:B,A57)</f>
        <v>34396.5</v>
      </c>
    </row>
    <row r="58" spans="1:7" x14ac:dyDescent="0.2">
      <c r="A58" t="s">
        <v>195</v>
      </c>
      <c r="B58" t="str">
        <f>VLOOKUP(A58,Articles!A:B,2,FALSE)</f>
        <v>CHAUSETTE BEBELINA</v>
      </c>
      <c r="C58">
        <f>VLOOKUP(A58,Articles!A:D,4,FALSE)</f>
        <v>11</v>
      </c>
      <c r="D58">
        <f>SUMIFS(Ventes!C:C,Ventes!B:B,A58)</f>
        <v>2</v>
      </c>
      <c r="E58">
        <f t="shared" si="0"/>
        <v>9</v>
      </c>
      <c r="F58">
        <f>SUMIFS(Ventes!D:D,Ventes!B:B,A58)</f>
        <v>2500</v>
      </c>
      <c r="G58">
        <f>SUMIFS(Ventes!G:G,Ventes!B:B,A58)</f>
        <v>1000</v>
      </c>
    </row>
    <row r="59" spans="1:7" x14ac:dyDescent="0.2">
      <c r="A59" t="s">
        <v>289</v>
      </c>
      <c r="B59" t="str">
        <f>VLOOKUP(A59,Articles!A:B,2,FALSE)</f>
        <v xml:space="preserve">MURAT ROBE CŒUR </v>
      </c>
      <c r="C59">
        <f>VLOOKUP(A59,Articles!A:D,4,FALSE)</f>
        <v>10</v>
      </c>
      <c r="D59">
        <f>SUMIFS(Ventes!C:C,Ventes!B:B,A59)</f>
        <v>9</v>
      </c>
      <c r="E59">
        <f t="shared" si="0"/>
        <v>1</v>
      </c>
      <c r="F59">
        <f>SUMIFS(Ventes!D:D,Ventes!B:B,A59)</f>
        <v>63000</v>
      </c>
      <c r="G59">
        <f>SUMIFS(Ventes!G:G,Ventes!B:B,A59)</f>
        <v>42125</v>
      </c>
    </row>
    <row r="60" spans="1:7" x14ac:dyDescent="0.2">
      <c r="A60" t="s">
        <v>173</v>
      </c>
      <c r="B60" t="str">
        <f>VLOOKUP(A60,Articles!A:B,2,FALSE)</f>
        <v>BABY F CHAPEAUX 02 PONPONS</v>
      </c>
      <c r="C60">
        <f>VLOOKUP(A60,Articles!A:D,4,FALSE)</f>
        <v>18</v>
      </c>
      <c r="D60">
        <f>SUMIFS(Ventes!C:C,Ventes!B:B,A60)</f>
        <v>8</v>
      </c>
      <c r="E60">
        <f t="shared" si="0"/>
        <v>10</v>
      </c>
      <c r="F60">
        <f>SUMIFS(Ventes!D:D,Ventes!B:B,A60)</f>
        <v>5633</v>
      </c>
      <c r="G60">
        <f>SUMIFS(Ventes!G:G,Ventes!B:B,A60)</f>
        <v>6099</v>
      </c>
    </row>
    <row r="61" spans="1:7" x14ac:dyDescent="0.2">
      <c r="A61" t="s">
        <v>174</v>
      </c>
      <c r="B61" t="str">
        <f>VLOOKUP(A61,Articles!A:B,2,FALSE)</f>
        <v>BABYBUU ROBE</v>
      </c>
      <c r="C61">
        <f>VLOOKUP(A61,Articles!A:D,4,FALSE)</f>
        <v>12</v>
      </c>
      <c r="D61">
        <f>SUMIFS(Ventes!C:C,Ventes!B:B,A61)</f>
        <v>11</v>
      </c>
      <c r="E61">
        <f t="shared" si="0"/>
        <v>1</v>
      </c>
      <c r="F61">
        <f>SUMIFS(Ventes!D:D,Ventes!B:B,A61)</f>
        <v>47000</v>
      </c>
      <c r="G61">
        <f>SUMIFS(Ventes!G:G,Ventes!B:B,A61)</f>
        <v>33892</v>
      </c>
    </row>
    <row r="62" spans="1:7" x14ac:dyDescent="0.2">
      <c r="A62" t="s">
        <v>227</v>
      </c>
      <c r="B62" t="str">
        <f>VLOOKUP(A62,Articles!A:B,2,FALSE)</f>
        <v>KIDEX ROBE CHAPEAU PAILLE</v>
      </c>
      <c r="C62">
        <f>VLOOKUP(A62,Articles!A:D,4,FALSE)</f>
        <v>16</v>
      </c>
      <c r="D62">
        <f>SUMIFS(Ventes!C:C,Ventes!B:B,A62)</f>
        <v>15</v>
      </c>
      <c r="E62">
        <f t="shared" si="0"/>
        <v>1</v>
      </c>
      <c r="F62">
        <f>SUMIFS(Ventes!D:D,Ventes!B:B,A62)</f>
        <v>73500</v>
      </c>
      <c r="G62">
        <f>SUMIFS(Ventes!G:G,Ventes!B:B,A62)</f>
        <v>45040</v>
      </c>
    </row>
    <row r="63" spans="1:7" x14ac:dyDescent="0.2">
      <c r="A63" t="s">
        <v>274</v>
      </c>
      <c r="B63" t="str">
        <f>VLOOKUP(A63,Articles!A:B,2,FALSE)</f>
        <v>MURAT BARBO JUPE SALOPETTE CŒUR</v>
      </c>
      <c r="C63">
        <f>VLOOKUP(A63,Articles!A:D,4,FALSE)</f>
        <v>4</v>
      </c>
      <c r="D63">
        <f>SUMIFS(Ventes!C:C,Ventes!B:B,A63)</f>
        <v>4</v>
      </c>
      <c r="E63">
        <f t="shared" si="0"/>
        <v>0</v>
      </c>
      <c r="F63">
        <f>SUMIFS(Ventes!D:D,Ventes!B:B,A63)</f>
        <v>23000</v>
      </c>
      <c r="G63">
        <f>SUMIFS(Ventes!G:G,Ventes!B:B,A63)</f>
        <v>10820</v>
      </c>
    </row>
    <row r="64" spans="1:7" x14ac:dyDescent="0.2">
      <c r="A64" t="s">
        <v>292</v>
      </c>
      <c r="B64" t="str">
        <f>VLOOKUP(A64,Articles!A:B,2,FALSE)</f>
        <v>MURAT ROBE JEAN-TISSU</v>
      </c>
      <c r="C64">
        <f>VLOOKUP(A64,Articles!A:D,4,FALSE)</f>
        <v>4</v>
      </c>
      <c r="D64">
        <f>SUMIFS(Ventes!C:C,Ventes!B:B,A64)</f>
        <v>3</v>
      </c>
      <c r="E64">
        <f t="shared" si="0"/>
        <v>1</v>
      </c>
      <c r="F64">
        <f>SUMIFS(Ventes!D:D,Ventes!B:B,A64)</f>
        <v>17000</v>
      </c>
      <c r="G64">
        <f>SUMIFS(Ventes!G:G,Ventes!B:B,A64)</f>
        <v>8705</v>
      </c>
    </row>
    <row r="65" spans="1:7" x14ac:dyDescent="0.2">
      <c r="A65" t="s">
        <v>176</v>
      </c>
      <c r="B65" t="str">
        <f>VLOOKUP(A65,Articles!A:B,2,FALSE)</f>
        <v>BABYGO ENS 02PROSE FILLE</v>
      </c>
      <c r="C65">
        <f>VLOOKUP(A65,Articles!A:D,4,FALSE)</f>
        <v>4</v>
      </c>
      <c r="D65">
        <f>SUMIFS(Ventes!C:C,Ventes!B:B,A65)</f>
        <v>1</v>
      </c>
      <c r="E65">
        <f t="shared" si="0"/>
        <v>3</v>
      </c>
      <c r="F65">
        <f>SUMIFS(Ventes!D:D,Ventes!B:B,A65)</f>
        <v>6500</v>
      </c>
      <c r="G65">
        <f>SUMIFS(Ventes!G:G,Ventes!B:B,A65)</f>
        <v>3161</v>
      </c>
    </row>
    <row r="66" spans="1:7" x14ac:dyDescent="0.2">
      <c r="A66" t="s">
        <v>189</v>
      </c>
      <c r="B66" t="str">
        <f>VLOOKUP(A66,Articles!A:B,2,FALSE)</f>
        <v>BELLA CHAUSSETTE BALLERINE</v>
      </c>
      <c r="C66">
        <f>VLOOKUP(A66,Articles!A:D,4,FALSE)</f>
        <v>60</v>
      </c>
      <c r="D66">
        <f>SUMIFS(Ventes!C:C,Ventes!B:B,A66)</f>
        <v>53</v>
      </c>
      <c r="E66">
        <f t="shared" si="0"/>
        <v>7</v>
      </c>
      <c r="F66">
        <f>SUMIFS(Ventes!D:D,Ventes!B:B,A66)</f>
        <v>12000</v>
      </c>
      <c r="G66">
        <f>SUMIFS(Ventes!G:G,Ventes!B:B,A66)</f>
        <v>28973.510000000002</v>
      </c>
    </row>
    <row r="67" spans="1:7" x14ac:dyDescent="0.2">
      <c r="A67" t="s">
        <v>186</v>
      </c>
      <c r="B67" t="str">
        <f>VLOOKUP(A67,Articles!A:B,2,FALSE)</f>
        <v>BELLA BANDEAUX</v>
      </c>
      <c r="C67">
        <f>VLOOKUP(A67,Articles!A:D,4,FALSE)</f>
        <v>85</v>
      </c>
      <c r="D67">
        <f>SUMIFS(Ventes!C:C,Ventes!B:B,A67)</f>
        <v>60</v>
      </c>
      <c r="E67">
        <f t="shared" si="0"/>
        <v>25</v>
      </c>
      <c r="F67">
        <f>SUMIFS(Ventes!D:D,Ventes!B:B,A67)</f>
        <v>20500</v>
      </c>
      <c r="G67">
        <f>SUMIFS(Ventes!G:G,Ventes!B:B,A67)</f>
        <v>43000</v>
      </c>
    </row>
    <row r="68" spans="1:7" x14ac:dyDescent="0.2">
      <c r="A68" t="s">
        <v>190</v>
      </c>
      <c r="B68" t="str">
        <f>VLOOKUP(A68,Articles!A:B,2,FALSE)</f>
        <v>BELLA CHAUSSETTE COLLANT NŒUD</v>
      </c>
      <c r="C68">
        <f>VLOOKUP(A68,Articles!A:D,4,FALSE)</f>
        <v>71</v>
      </c>
      <c r="D68">
        <f>SUMIFS(Ventes!C:C,Ventes!B:B,A68)</f>
        <v>29</v>
      </c>
      <c r="E68">
        <f t="shared" si="0"/>
        <v>42</v>
      </c>
      <c r="F68">
        <f>SUMIFS(Ventes!D:D,Ventes!B:B,A68)</f>
        <v>19000</v>
      </c>
      <c r="G68">
        <f>SUMIFS(Ventes!G:G,Ventes!B:B,A68)</f>
        <v>34396.5</v>
      </c>
    </row>
    <row r="69" spans="1:7" x14ac:dyDescent="0.2">
      <c r="A69" t="s">
        <v>259</v>
      </c>
      <c r="B69" t="str">
        <f>VLOOKUP(A69,Articles!A:B,2,FALSE)</f>
        <v>MINILOVE ENS 02P NAISS BLANC</v>
      </c>
      <c r="C69">
        <f>VLOOKUP(A69,Articles!A:D,4,FALSE)</f>
        <v>6</v>
      </c>
      <c r="D69">
        <f>SUMIFS(Ventes!C:C,Ventes!B:B,A69)</f>
        <v>3</v>
      </c>
      <c r="E69">
        <f t="shared" ref="E69:E132" si="1">C69-D69</f>
        <v>3</v>
      </c>
      <c r="F69">
        <f>SUMIFS(Ventes!D:D,Ventes!B:B,A69)</f>
        <v>15500</v>
      </c>
      <c r="G69">
        <f>SUMIFS(Ventes!G:G,Ventes!B:B,A69)</f>
        <v>8696</v>
      </c>
    </row>
    <row r="70" spans="1:7" x14ac:dyDescent="0.2">
      <c r="A70" t="s">
        <v>174</v>
      </c>
      <c r="B70" t="str">
        <f>VLOOKUP(A70,Articles!A:B,2,FALSE)</f>
        <v>BABYBUU ROBE</v>
      </c>
      <c r="C70">
        <f>VLOOKUP(A70,Articles!A:D,4,FALSE)</f>
        <v>12</v>
      </c>
      <c r="D70">
        <f>SUMIFS(Ventes!C:C,Ventes!B:B,A70)</f>
        <v>11</v>
      </c>
      <c r="E70">
        <f t="shared" si="1"/>
        <v>1</v>
      </c>
      <c r="F70">
        <f>SUMIFS(Ventes!D:D,Ventes!B:B,A70)</f>
        <v>47000</v>
      </c>
      <c r="G70">
        <f>SUMIFS(Ventes!G:G,Ventes!B:B,A70)</f>
        <v>33892</v>
      </c>
    </row>
    <row r="71" spans="1:7" x14ac:dyDescent="0.2">
      <c r="A71" t="s">
        <v>227</v>
      </c>
      <c r="B71" t="str">
        <f>VLOOKUP(A71,Articles!A:B,2,FALSE)</f>
        <v>KIDEX ROBE CHAPEAU PAILLE</v>
      </c>
      <c r="C71">
        <f>VLOOKUP(A71,Articles!A:D,4,FALSE)</f>
        <v>16</v>
      </c>
      <c r="D71">
        <f>SUMIFS(Ventes!C:C,Ventes!B:B,A71)</f>
        <v>15</v>
      </c>
      <c r="E71">
        <f t="shared" si="1"/>
        <v>1</v>
      </c>
      <c r="F71">
        <f>SUMIFS(Ventes!D:D,Ventes!B:B,A71)</f>
        <v>73500</v>
      </c>
      <c r="G71">
        <f>SUMIFS(Ventes!G:G,Ventes!B:B,A71)</f>
        <v>45040</v>
      </c>
    </row>
    <row r="72" spans="1:7" x14ac:dyDescent="0.2">
      <c r="A72" t="s">
        <v>289</v>
      </c>
      <c r="B72" t="str">
        <f>VLOOKUP(A72,Articles!A:B,2,FALSE)</f>
        <v xml:space="preserve">MURAT ROBE CŒUR </v>
      </c>
      <c r="C72">
        <f>VLOOKUP(A72,Articles!A:D,4,FALSE)</f>
        <v>10</v>
      </c>
      <c r="D72">
        <f>SUMIFS(Ventes!C:C,Ventes!B:B,A72)</f>
        <v>9</v>
      </c>
      <c r="E72">
        <f t="shared" si="1"/>
        <v>1</v>
      </c>
      <c r="F72">
        <f>SUMIFS(Ventes!D:D,Ventes!B:B,A72)</f>
        <v>63000</v>
      </c>
      <c r="G72">
        <f>SUMIFS(Ventes!G:G,Ventes!B:B,A72)</f>
        <v>42125</v>
      </c>
    </row>
    <row r="73" spans="1:7" x14ac:dyDescent="0.2">
      <c r="A73" t="s">
        <v>189</v>
      </c>
      <c r="B73" t="str">
        <f>VLOOKUP(A73,Articles!A:B,2,FALSE)</f>
        <v>BELLA CHAUSSETTE BALLERINE</v>
      </c>
      <c r="C73">
        <f>VLOOKUP(A73,Articles!A:D,4,FALSE)</f>
        <v>60</v>
      </c>
      <c r="D73">
        <f>SUMIFS(Ventes!C:C,Ventes!B:B,A73)</f>
        <v>53</v>
      </c>
      <c r="E73">
        <f t="shared" si="1"/>
        <v>7</v>
      </c>
      <c r="F73">
        <f>SUMIFS(Ventes!D:D,Ventes!B:B,A73)</f>
        <v>12000</v>
      </c>
      <c r="G73">
        <f>SUMIFS(Ventes!G:G,Ventes!B:B,A73)</f>
        <v>28973.510000000002</v>
      </c>
    </row>
    <row r="74" spans="1:7" x14ac:dyDescent="0.2">
      <c r="A74" t="s">
        <v>274</v>
      </c>
      <c r="B74" t="str">
        <f>VLOOKUP(A74,Articles!A:B,2,FALSE)</f>
        <v>MURAT BARBO JUPE SALOPETTE CŒUR</v>
      </c>
      <c r="C74">
        <f>VLOOKUP(A74,Articles!A:D,4,FALSE)</f>
        <v>4</v>
      </c>
      <c r="D74">
        <f>SUMIFS(Ventes!C:C,Ventes!B:B,A74)</f>
        <v>4</v>
      </c>
      <c r="E74">
        <f t="shared" si="1"/>
        <v>0</v>
      </c>
      <c r="F74">
        <f>SUMIFS(Ventes!D:D,Ventes!B:B,A74)</f>
        <v>23000</v>
      </c>
      <c r="G74">
        <f>SUMIFS(Ventes!G:G,Ventes!B:B,A74)</f>
        <v>10820</v>
      </c>
    </row>
    <row r="75" spans="1:7" x14ac:dyDescent="0.2">
      <c r="A75" t="s">
        <v>308</v>
      </c>
      <c r="B75" t="str">
        <f>VLOOKUP(A75,Articles!A:B,2,FALSE)</f>
        <v>NAY GREN SIMPLES</v>
      </c>
      <c r="C75">
        <f>VLOOKUP(A75,Articles!A:D,4,FALSE)</f>
        <v>78</v>
      </c>
      <c r="D75">
        <f>SUMIFS(Ventes!C:C,Ventes!B:B,A75)</f>
        <v>28</v>
      </c>
      <c r="E75">
        <f t="shared" si="1"/>
        <v>50</v>
      </c>
      <c r="F75">
        <f>SUMIFS(Ventes!D:D,Ventes!B:B,A75)</f>
        <v>28400</v>
      </c>
      <c r="G75">
        <f>SUMIFS(Ventes!G:G,Ventes!B:B,A75)</f>
        <v>44604</v>
      </c>
    </row>
    <row r="76" spans="1:7" x14ac:dyDescent="0.2">
      <c r="A76" t="s">
        <v>258</v>
      </c>
      <c r="B76" t="str">
        <f>VLOOKUP(A76,Articles!A:B,2,FALSE)</f>
        <v>MINI TROUSSEAU</v>
      </c>
      <c r="C76">
        <f>VLOOKUP(A76,Articles!A:D,4,FALSE)</f>
        <v>2</v>
      </c>
      <c r="D76">
        <f>SUMIFS(Ventes!C:C,Ventes!B:B,A76)</f>
        <v>1</v>
      </c>
      <c r="E76">
        <f t="shared" si="1"/>
        <v>1</v>
      </c>
      <c r="F76">
        <f>SUMIFS(Ventes!D:D,Ventes!B:B,A76)</f>
        <v>1500</v>
      </c>
      <c r="G76">
        <f>SUMIFS(Ventes!G:G,Ventes!B:B,A76)</f>
        <v>750</v>
      </c>
    </row>
    <row r="77" spans="1:7" x14ac:dyDescent="0.2">
      <c r="A77" t="s">
        <v>182</v>
      </c>
      <c r="B77" t="str">
        <f>VLOOKUP(A77,Articles!A:B,2,FALSE)</f>
        <v xml:space="preserve">BB CHERI CANARIO 02P </v>
      </c>
      <c r="C77">
        <f>VLOOKUP(A77,Articles!A:D,4,FALSE)</f>
        <v>4</v>
      </c>
      <c r="D77">
        <f>SUMIFS(Ventes!C:C,Ventes!B:B,A77)</f>
        <v>3</v>
      </c>
      <c r="E77">
        <f t="shared" si="1"/>
        <v>1</v>
      </c>
      <c r="F77">
        <f>SUMIFS(Ventes!D:D,Ventes!B:B,A77)</f>
        <v>26000</v>
      </c>
      <c r="G77">
        <f>SUMIFS(Ventes!G:G,Ventes!B:B,A77)</f>
        <v>13610</v>
      </c>
    </row>
    <row r="78" spans="1:7" x14ac:dyDescent="0.2">
      <c r="A78" t="s">
        <v>180</v>
      </c>
      <c r="B78" t="str">
        <f>VLOOKUP(A78,Articles!A:B,2,FALSE)</f>
        <v>BB CHERI BABY F ENS02P ROSE</v>
      </c>
      <c r="C78">
        <f>VLOOKUP(A78,Articles!A:D,4,FALSE)</f>
        <v>4</v>
      </c>
      <c r="D78">
        <f>SUMIFS(Ventes!C:C,Ventes!B:B,A78)</f>
        <v>2</v>
      </c>
      <c r="E78">
        <f t="shared" si="1"/>
        <v>2</v>
      </c>
      <c r="F78">
        <f>SUMIFS(Ventes!D:D,Ventes!B:B,A78)</f>
        <v>14500</v>
      </c>
      <c r="G78">
        <f>SUMIFS(Ventes!G:G,Ventes!B:B,A78)</f>
        <v>7500</v>
      </c>
    </row>
    <row r="79" spans="1:7" x14ac:dyDescent="0.2">
      <c r="A79" t="s">
        <v>189</v>
      </c>
      <c r="B79" t="str">
        <f>VLOOKUP(A79,Articles!A:B,2,FALSE)</f>
        <v>BELLA CHAUSSETTE BALLERINE</v>
      </c>
      <c r="C79">
        <f>VLOOKUP(A79,Articles!A:D,4,FALSE)</f>
        <v>60</v>
      </c>
      <c r="D79">
        <f>SUMIFS(Ventes!C:C,Ventes!B:B,A79)</f>
        <v>53</v>
      </c>
      <c r="E79">
        <f t="shared" si="1"/>
        <v>7</v>
      </c>
      <c r="F79">
        <f>SUMIFS(Ventes!D:D,Ventes!B:B,A79)</f>
        <v>12000</v>
      </c>
      <c r="G79">
        <f>SUMIFS(Ventes!G:G,Ventes!B:B,A79)</f>
        <v>28973.510000000002</v>
      </c>
    </row>
    <row r="80" spans="1:7" x14ac:dyDescent="0.2">
      <c r="A80" t="s">
        <v>203</v>
      </c>
      <c r="B80" t="str">
        <f>VLOOKUP(A80,Articles!A:B,2,FALSE)</f>
        <v>COSAY ENS NAISS CŒUR</v>
      </c>
      <c r="C80">
        <f>VLOOKUP(A80,Articles!A:D,4,FALSE)</f>
        <v>2</v>
      </c>
      <c r="D80">
        <f>SUMIFS(Ventes!C:C,Ventes!B:B,A80)</f>
        <v>1</v>
      </c>
      <c r="E80">
        <f t="shared" si="1"/>
        <v>1</v>
      </c>
      <c r="F80">
        <f>SUMIFS(Ventes!D:D,Ventes!B:B,A80)</f>
        <v>10000</v>
      </c>
      <c r="G80">
        <f>SUMIFS(Ventes!G:G,Ventes!B:B,A80)</f>
        <v>4862</v>
      </c>
    </row>
    <row r="81" spans="1:7" x14ac:dyDescent="0.2">
      <c r="A81" t="s">
        <v>4</v>
      </c>
      <c r="B81" t="str">
        <f>VLOOKUP(A81,Articles!A:B,2,FALSE)</f>
        <v>BABY BELLO ENS VIOLET 02P</v>
      </c>
      <c r="C81">
        <f>VLOOKUP(A81,Articles!A:D,4,FALSE)</f>
        <v>1</v>
      </c>
      <c r="D81">
        <f>SUMIFS(Ventes!C:C,Ventes!B:B,A81)</f>
        <v>1</v>
      </c>
      <c r="E81">
        <f t="shared" si="1"/>
        <v>0</v>
      </c>
      <c r="F81">
        <f>SUMIFS(Ventes!D:D,Ventes!B:B,A81)</f>
        <v>6500</v>
      </c>
      <c r="G81">
        <f>SUMIFS(Ventes!G:G,Ventes!B:B,A81)</f>
        <v>3000</v>
      </c>
    </row>
    <row r="82" spans="1:7" x14ac:dyDescent="0.2">
      <c r="A82" t="s">
        <v>201</v>
      </c>
      <c r="B82" t="str">
        <f>VLOOKUP(A82,Articles!A:B,2,FALSE)</f>
        <v>COSAY ENS 03P PETIT CŒUR</v>
      </c>
      <c r="C82">
        <f>VLOOKUP(A82,Articles!A:D,4,FALSE)</f>
        <v>3</v>
      </c>
      <c r="D82">
        <f>SUMIFS(Ventes!C:C,Ventes!B:B,A82)</f>
        <v>1</v>
      </c>
      <c r="E82">
        <f t="shared" si="1"/>
        <v>2</v>
      </c>
      <c r="F82">
        <f>SUMIFS(Ventes!D:D,Ventes!B:B,A82)</f>
        <v>9000</v>
      </c>
      <c r="G82">
        <f>SUMIFS(Ventes!G:G,Ventes!B:B,A82)</f>
        <v>4443</v>
      </c>
    </row>
    <row r="83" spans="1:7" x14ac:dyDescent="0.2">
      <c r="A83" t="s">
        <v>173</v>
      </c>
      <c r="B83" t="str">
        <f>VLOOKUP(A83,Articles!A:B,2,FALSE)</f>
        <v>BABY F CHAPEAUX 02 PONPONS</v>
      </c>
      <c r="C83">
        <f>VLOOKUP(A83,Articles!A:D,4,FALSE)</f>
        <v>18</v>
      </c>
      <c r="D83">
        <f>SUMIFS(Ventes!C:C,Ventes!B:B,A83)</f>
        <v>8</v>
      </c>
      <c r="E83">
        <f t="shared" si="1"/>
        <v>10</v>
      </c>
      <c r="F83">
        <f>SUMIFS(Ventes!D:D,Ventes!B:B,A83)</f>
        <v>5633</v>
      </c>
      <c r="G83">
        <f>SUMIFS(Ventes!G:G,Ventes!B:B,A83)</f>
        <v>6099</v>
      </c>
    </row>
    <row r="84" spans="1:7" x14ac:dyDescent="0.2">
      <c r="A84" t="s">
        <v>190</v>
      </c>
      <c r="B84" t="str">
        <f>VLOOKUP(A84,Articles!A:B,2,FALSE)</f>
        <v>BELLA CHAUSSETTE COLLANT NŒUD</v>
      </c>
      <c r="C84">
        <f>VLOOKUP(A84,Articles!A:D,4,FALSE)</f>
        <v>71</v>
      </c>
      <c r="D84">
        <f>SUMIFS(Ventes!C:C,Ventes!B:B,A84)</f>
        <v>29</v>
      </c>
      <c r="E84">
        <f t="shared" si="1"/>
        <v>42</v>
      </c>
      <c r="F84">
        <f>SUMIFS(Ventes!D:D,Ventes!B:B,A84)</f>
        <v>19000</v>
      </c>
      <c r="G84">
        <f>SUMIFS(Ventes!G:G,Ventes!B:B,A84)</f>
        <v>34396.5</v>
      </c>
    </row>
    <row r="85" spans="1:7" x14ac:dyDescent="0.2">
      <c r="A85" t="s">
        <v>186</v>
      </c>
      <c r="B85" t="str">
        <f>VLOOKUP(A85,Articles!A:B,2,FALSE)</f>
        <v>BELLA BANDEAUX</v>
      </c>
      <c r="C85">
        <f>VLOOKUP(A85,Articles!A:D,4,FALSE)</f>
        <v>85</v>
      </c>
      <c r="D85">
        <f>SUMIFS(Ventes!C:C,Ventes!B:B,A85)</f>
        <v>60</v>
      </c>
      <c r="E85">
        <f t="shared" si="1"/>
        <v>25</v>
      </c>
      <c r="F85">
        <f>SUMIFS(Ventes!D:D,Ventes!B:B,A85)</f>
        <v>20500</v>
      </c>
      <c r="G85">
        <f>SUMIFS(Ventes!G:G,Ventes!B:B,A85)</f>
        <v>43000</v>
      </c>
    </row>
    <row r="86" spans="1:7" x14ac:dyDescent="0.2">
      <c r="A86" t="s">
        <v>173</v>
      </c>
      <c r="B86" t="str">
        <f>VLOOKUP(A86,Articles!A:B,2,FALSE)</f>
        <v>BABY F CHAPEAUX 02 PONPONS</v>
      </c>
      <c r="C86">
        <f>VLOOKUP(A86,Articles!A:D,4,FALSE)</f>
        <v>18</v>
      </c>
      <c r="D86">
        <f>SUMIFS(Ventes!C:C,Ventes!B:B,A86)</f>
        <v>8</v>
      </c>
      <c r="E86">
        <f t="shared" si="1"/>
        <v>10</v>
      </c>
      <c r="F86">
        <f>SUMIFS(Ventes!D:D,Ventes!B:B,A86)</f>
        <v>5633</v>
      </c>
      <c r="G86">
        <f>SUMIFS(Ventes!G:G,Ventes!B:B,A86)</f>
        <v>6099</v>
      </c>
    </row>
    <row r="87" spans="1:7" x14ac:dyDescent="0.2">
      <c r="A87" t="s">
        <v>311</v>
      </c>
      <c r="B87" t="str">
        <f>VLOOKUP(A87,Articles!A:B,2,FALSE)</f>
        <v>NONNA BABY ENS GRIS/JAUNE 02P</v>
      </c>
      <c r="C87">
        <f>VLOOKUP(A87,Articles!A:D,4,FALSE)</f>
        <v>3</v>
      </c>
      <c r="D87">
        <f>SUMIFS(Ventes!C:C,Ventes!B:B,A87)</f>
        <v>1</v>
      </c>
      <c r="E87">
        <f t="shared" si="1"/>
        <v>2</v>
      </c>
      <c r="F87">
        <f>SUMIFS(Ventes!D:D,Ventes!B:B,A87)</f>
        <v>7000</v>
      </c>
      <c r="G87">
        <f>SUMIFS(Ventes!G:G,Ventes!B:B,A87)</f>
        <v>3500</v>
      </c>
    </row>
    <row r="88" spans="1:7" x14ac:dyDescent="0.2">
      <c r="A88" t="s">
        <v>229</v>
      </c>
      <c r="B88" t="str">
        <f>VLOOKUP(A88,Articles!A:B,2,FALSE)</f>
        <v>KITY SALOPETTE</v>
      </c>
      <c r="C88">
        <f>VLOOKUP(A88,Articles!A:D,4,FALSE)</f>
        <v>6</v>
      </c>
      <c r="D88">
        <f>SUMIFS(Ventes!C:C,Ventes!B:B,A88)</f>
        <v>6</v>
      </c>
      <c r="E88">
        <f t="shared" si="1"/>
        <v>0</v>
      </c>
      <c r="F88">
        <f>SUMIFS(Ventes!D:D,Ventes!B:B,A88)</f>
        <v>48500</v>
      </c>
      <c r="G88">
        <f>SUMIFS(Ventes!G:G,Ventes!B:B,A88)</f>
        <v>24308</v>
      </c>
    </row>
    <row r="89" spans="1:7" x14ac:dyDescent="0.2">
      <c r="A89" t="s">
        <v>174</v>
      </c>
      <c r="B89" t="str">
        <f>VLOOKUP(A89,Articles!A:B,2,FALSE)</f>
        <v>BABYBUU ROBE</v>
      </c>
      <c r="C89">
        <f>VLOOKUP(A89,Articles!A:D,4,FALSE)</f>
        <v>12</v>
      </c>
      <c r="D89">
        <f>SUMIFS(Ventes!C:C,Ventes!B:B,A89)</f>
        <v>11</v>
      </c>
      <c r="E89">
        <f t="shared" si="1"/>
        <v>1</v>
      </c>
      <c r="F89">
        <f>SUMIFS(Ventes!D:D,Ventes!B:B,A89)</f>
        <v>47000</v>
      </c>
      <c r="G89">
        <f>SUMIFS(Ventes!G:G,Ventes!B:B,A89)</f>
        <v>33892</v>
      </c>
    </row>
    <row r="90" spans="1:7" x14ac:dyDescent="0.2">
      <c r="A90" t="s">
        <v>310</v>
      </c>
      <c r="B90" t="str">
        <f>VLOOKUP(A90,Articles!A:B,2,FALSE)</f>
        <v>NEHAD ENS 02P CULOTTE CARRELE</v>
      </c>
      <c r="C90">
        <f>VLOOKUP(A90,Articles!A:D,4,FALSE)</f>
        <v>3</v>
      </c>
      <c r="D90">
        <f>SUMIFS(Ventes!C:C,Ventes!B:B,A90)</f>
        <v>3</v>
      </c>
      <c r="E90">
        <f t="shared" si="1"/>
        <v>0</v>
      </c>
      <c r="F90">
        <f>SUMIFS(Ventes!D:D,Ventes!B:B,A90)</f>
        <v>19500</v>
      </c>
      <c r="G90">
        <f>SUMIFS(Ventes!G:G,Ventes!B:B,A90)</f>
        <v>9630</v>
      </c>
    </row>
    <row r="91" spans="1:7" x14ac:dyDescent="0.2">
      <c r="A91" t="s">
        <v>190</v>
      </c>
      <c r="B91" t="str">
        <f>VLOOKUP(A91,Articles!A:B,2,FALSE)</f>
        <v>BELLA CHAUSSETTE COLLANT NŒUD</v>
      </c>
      <c r="C91">
        <f>VLOOKUP(A91,Articles!A:D,4,FALSE)</f>
        <v>71</v>
      </c>
      <c r="D91">
        <f>SUMIFS(Ventes!C:C,Ventes!B:B,A91)</f>
        <v>29</v>
      </c>
      <c r="E91">
        <f t="shared" si="1"/>
        <v>42</v>
      </c>
      <c r="F91">
        <f>SUMIFS(Ventes!D:D,Ventes!B:B,A91)</f>
        <v>19000</v>
      </c>
      <c r="G91">
        <f>SUMIFS(Ventes!G:G,Ventes!B:B,A91)</f>
        <v>34396.5</v>
      </c>
    </row>
    <row r="92" spans="1:7" x14ac:dyDescent="0.2">
      <c r="A92" t="s">
        <v>274</v>
      </c>
      <c r="B92" t="str">
        <f>VLOOKUP(A92,Articles!A:B,2,FALSE)</f>
        <v>MURAT BARBO JUPE SALOPETTE CŒUR</v>
      </c>
      <c r="C92">
        <f>VLOOKUP(A92,Articles!A:D,4,FALSE)</f>
        <v>4</v>
      </c>
      <c r="D92">
        <f>SUMIFS(Ventes!C:C,Ventes!B:B,A92)</f>
        <v>4</v>
      </c>
      <c r="E92">
        <f t="shared" si="1"/>
        <v>0</v>
      </c>
      <c r="F92">
        <f>SUMIFS(Ventes!D:D,Ventes!B:B,A92)</f>
        <v>23000</v>
      </c>
      <c r="G92">
        <f>SUMIFS(Ventes!G:G,Ventes!B:B,A92)</f>
        <v>10820</v>
      </c>
    </row>
    <row r="93" spans="1:7" x14ac:dyDescent="0.2">
      <c r="A93" t="s">
        <v>186</v>
      </c>
      <c r="B93" t="str">
        <f>VLOOKUP(A93,Articles!A:B,2,FALSE)</f>
        <v>BELLA BANDEAUX</v>
      </c>
      <c r="C93">
        <f>VLOOKUP(A93,Articles!A:D,4,FALSE)</f>
        <v>85</v>
      </c>
      <c r="D93">
        <f>SUMIFS(Ventes!C:C,Ventes!B:B,A93)</f>
        <v>60</v>
      </c>
      <c r="E93">
        <f t="shared" si="1"/>
        <v>25</v>
      </c>
      <c r="F93">
        <f>SUMIFS(Ventes!D:D,Ventes!B:B,A93)</f>
        <v>20500</v>
      </c>
      <c r="G93">
        <f>SUMIFS(Ventes!G:G,Ventes!B:B,A93)</f>
        <v>43000</v>
      </c>
    </row>
    <row r="94" spans="1:7" x14ac:dyDescent="0.2">
      <c r="A94" t="s">
        <v>189</v>
      </c>
      <c r="B94" t="str">
        <f>VLOOKUP(A94,Articles!A:B,2,FALSE)</f>
        <v>BELLA CHAUSSETTE BALLERINE</v>
      </c>
      <c r="C94">
        <f>VLOOKUP(A94,Articles!A:D,4,FALSE)</f>
        <v>60</v>
      </c>
      <c r="D94">
        <f>SUMIFS(Ventes!C:C,Ventes!B:B,A94)</f>
        <v>53</v>
      </c>
      <c r="E94">
        <f t="shared" si="1"/>
        <v>7</v>
      </c>
      <c r="F94">
        <f>SUMIFS(Ventes!D:D,Ventes!B:B,A94)</f>
        <v>12000</v>
      </c>
      <c r="G94">
        <f>SUMIFS(Ventes!G:G,Ventes!B:B,A94)</f>
        <v>28973.510000000002</v>
      </c>
    </row>
    <row r="95" spans="1:7" x14ac:dyDescent="0.2">
      <c r="A95" t="s">
        <v>186</v>
      </c>
      <c r="B95" t="str">
        <f>VLOOKUP(A95,Articles!A:B,2,FALSE)</f>
        <v>BELLA BANDEAUX</v>
      </c>
      <c r="C95">
        <f>VLOOKUP(A95,Articles!A:D,4,FALSE)</f>
        <v>85</v>
      </c>
      <c r="D95">
        <f>SUMIFS(Ventes!C:C,Ventes!B:B,A95)</f>
        <v>60</v>
      </c>
      <c r="E95">
        <f t="shared" si="1"/>
        <v>25</v>
      </c>
      <c r="F95">
        <f>SUMIFS(Ventes!D:D,Ventes!B:B,A95)</f>
        <v>20500</v>
      </c>
      <c r="G95">
        <f>SUMIFS(Ventes!G:G,Ventes!B:B,A95)</f>
        <v>43000</v>
      </c>
    </row>
    <row r="96" spans="1:7" x14ac:dyDescent="0.2">
      <c r="A96" t="s">
        <v>190</v>
      </c>
      <c r="B96" t="str">
        <f>VLOOKUP(A96,Articles!A:B,2,FALSE)</f>
        <v>BELLA CHAUSSETTE COLLANT NŒUD</v>
      </c>
      <c r="C96">
        <f>VLOOKUP(A96,Articles!A:D,4,FALSE)</f>
        <v>71</v>
      </c>
      <c r="D96">
        <f>SUMIFS(Ventes!C:C,Ventes!B:B,A96)</f>
        <v>29</v>
      </c>
      <c r="E96">
        <f t="shared" si="1"/>
        <v>42</v>
      </c>
      <c r="F96">
        <f>SUMIFS(Ventes!D:D,Ventes!B:B,A96)</f>
        <v>19000</v>
      </c>
      <c r="G96">
        <f>SUMIFS(Ventes!G:G,Ventes!B:B,A96)</f>
        <v>34396.5</v>
      </c>
    </row>
    <row r="97" spans="1:7" x14ac:dyDescent="0.2">
      <c r="A97" t="s">
        <v>189</v>
      </c>
      <c r="B97" t="str">
        <f>VLOOKUP(A97,Articles!A:B,2,FALSE)</f>
        <v>BELLA CHAUSSETTE BALLERINE</v>
      </c>
      <c r="C97">
        <f>VLOOKUP(A97,Articles!A:D,4,FALSE)</f>
        <v>60</v>
      </c>
      <c r="D97">
        <f>SUMIFS(Ventes!C:C,Ventes!B:B,A97)</f>
        <v>53</v>
      </c>
      <c r="E97">
        <f t="shared" si="1"/>
        <v>7</v>
      </c>
      <c r="F97">
        <f>SUMIFS(Ventes!D:D,Ventes!B:B,A97)</f>
        <v>12000</v>
      </c>
      <c r="G97">
        <f>SUMIFS(Ventes!G:G,Ventes!B:B,A97)</f>
        <v>28973.510000000002</v>
      </c>
    </row>
    <row r="98" spans="1:7" x14ac:dyDescent="0.2">
      <c r="A98" t="s">
        <v>186</v>
      </c>
      <c r="B98" t="str">
        <f>VLOOKUP(A98,Articles!A:B,2,FALSE)</f>
        <v>BELLA BANDEAUX</v>
      </c>
      <c r="C98">
        <f>VLOOKUP(A98,Articles!A:D,4,FALSE)</f>
        <v>85</v>
      </c>
      <c r="D98">
        <f>SUMIFS(Ventes!C:C,Ventes!B:B,A98)</f>
        <v>60</v>
      </c>
      <c r="E98">
        <f t="shared" si="1"/>
        <v>25</v>
      </c>
      <c r="F98">
        <f>SUMIFS(Ventes!D:D,Ventes!B:B,A98)</f>
        <v>20500</v>
      </c>
      <c r="G98">
        <f>SUMIFS(Ventes!G:G,Ventes!B:B,A98)</f>
        <v>43000</v>
      </c>
    </row>
    <row r="99" spans="1:7" x14ac:dyDescent="0.2">
      <c r="A99" t="s">
        <v>195</v>
      </c>
      <c r="B99" t="str">
        <f>VLOOKUP(A99,Articles!A:B,2,FALSE)</f>
        <v>CHAUSETTE BEBELINA</v>
      </c>
      <c r="C99">
        <f>VLOOKUP(A99,Articles!A:D,4,FALSE)</f>
        <v>11</v>
      </c>
      <c r="D99">
        <f>SUMIFS(Ventes!C:C,Ventes!B:B,A99)</f>
        <v>2</v>
      </c>
      <c r="E99">
        <f t="shared" si="1"/>
        <v>9</v>
      </c>
      <c r="F99">
        <f>SUMIFS(Ventes!D:D,Ventes!B:B,A99)</f>
        <v>2500</v>
      </c>
      <c r="G99">
        <f>SUMIFS(Ventes!G:G,Ventes!B:B,A99)</f>
        <v>1000</v>
      </c>
    </row>
    <row r="100" spans="1:7" x14ac:dyDescent="0.2">
      <c r="A100" t="s">
        <v>292</v>
      </c>
      <c r="B100" t="str">
        <f>VLOOKUP(A100,Articles!A:B,2,FALSE)</f>
        <v>MURAT ROBE JEAN-TISSU</v>
      </c>
      <c r="C100">
        <f>VLOOKUP(A100,Articles!A:D,4,FALSE)</f>
        <v>4</v>
      </c>
      <c r="D100">
        <f>SUMIFS(Ventes!C:C,Ventes!B:B,A100)</f>
        <v>3</v>
      </c>
      <c r="E100">
        <f t="shared" si="1"/>
        <v>1</v>
      </c>
      <c r="F100">
        <f>SUMIFS(Ventes!D:D,Ventes!B:B,A100)</f>
        <v>17000</v>
      </c>
      <c r="G100">
        <f>SUMIFS(Ventes!G:G,Ventes!B:B,A100)</f>
        <v>8705</v>
      </c>
    </row>
    <row r="101" spans="1:7" x14ac:dyDescent="0.2">
      <c r="A101" t="s">
        <v>289</v>
      </c>
      <c r="B101" t="str">
        <f>VLOOKUP(A101,Articles!A:B,2,FALSE)</f>
        <v xml:space="preserve">MURAT ROBE CŒUR </v>
      </c>
      <c r="C101">
        <f>VLOOKUP(A101,Articles!A:D,4,FALSE)</f>
        <v>10</v>
      </c>
      <c r="D101">
        <f>SUMIFS(Ventes!C:C,Ventes!B:B,A101)</f>
        <v>9</v>
      </c>
      <c r="E101">
        <f t="shared" si="1"/>
        <v>1</v>
      </c>
      <c r="F101">
        <f>SUMIFS(Ventes!D:D,Ventes!B:B,A101)</f>
        <v>63000</v>
      </c>
      <c r="G101">
        <f>SUMIFS(Ventes!G:G,Ventes!B:B,A101)</f>
        <v>42125</v>
      </c>
    </row>
    <row r="102" spans="1:7" x14ac:dyDescent="0.2">
      <c r="A102" t="s">
        <v>285</v>
      </c>
      <c r="B102" t="str">
        <f>VLOOKUP(A102,Articles!A:B,2,FALSE)</f>
        <v>MURAT MINI COMBI CŒUR</v>
      </c>
      <c r="C102">
        <f>VLOOKUP(A102,Articles!A:D,4,FALSE)</f>
        <v>4</v>
      </c>
      <c r="D102">
        <f>SUMIFS(Ventes!C:C,Ventes!B:B,A102)</f>
        <v>4</v>
      </c>
      <c r="E102">
        <f t="shared" si="1"/>
        <v>0</v>
      </c>
      <c r="F102">
        <f>SUMIFS(Ventes!D:D,Ventes!B:B,A102)</f>
        <v>15500</v>
      </c>
      <c r="G102">
        <f>SUMIFS(Ventes!G:G,Ventes!B:B,A102)</f>
        <v>10220</v>
      </c>
    </row>
    <row r="103" spans="1:7" x14ac:dyDescent="0.2">
      <c r="A103" t="s">
        <v>207</v>
      </c>
      <c r="B103" t="str">
        <f>VLOOKUP(A103,Articles!A:B,2,FALSE)</f>
        <v>DAMLA ENS 02P ROSE PANTALON</v>
      </c>
      <c r="C103">
        <f>VLOOKUP(A103,Articles!A:D,4,FALSE)</f>
        <v>4</v>
      </c>
      <c r="D103">
        <f>SUMIFS(Ventes!C:C,Ventes!B:B,A103)</f>
        <v>3</v>
      </c>
      <c r="E103">
        <f t="shared" si="1"/>
        <v>1</v>
      </c>
      <c r="F103">
        <f>SUMIFS(Ventes!D:D,Ventes!B:B,A103)</f>
        <v>15000</v>
      </c>
      <c r="G103">
        <f>SUMIFS(Ventes!G:G,Ventes!B:B,A103)</f>
        <v>7356</v>
      </c>
    </row>
    <row r="104" spans="1:7" x14ac:dyDescent="0.2">
      <c r="A104" t="s">
        <v>227</v>
      </c>
      <c r="B104" t="str">
        <f>VLOOKUP(A104,Articles!A:B,2,FALSE)</f>
        <v>KIDEX ROBE CHAPEAU PAILLE</v>
      </c>
      <c r="C104">
        <f>VLOOKUP(A104,Articles!A:D,4,FALSE)</f>
        <v>16</v>
      </c>
      <c r="D104">
        <f>SUMIFS(Ventes!C:C,Ventes!B:B,A104)</f>
        <v>15</v>
      </c>
      <c r="E104">
        <f t="shared" si="1"/>
        <v>1</v>
      </c>
      <c r="F104">
        <f>SUMIFS(Ventes!D:D,Ventes!B:B,A104)</f>
        <v>73500</v>
      </c>
      <c r="G104">
        <f>SUMIFS(Ventes!G:G,Ventes!B:B,A104)</f>
        <v>45040</v>
      </c>
    </row>
    <row r="105" spans="1:7" x14ac:dyDescent="0.2">
      <c r="A105" t="s">
        <v>318</v>
      </c>
      <c r="B105" t="str">
        <f>VLOOKUP(A105,Articles!A:B,2,FALSE)</f>
        <v>PONPON ROBE</v>
      </c>
      <c r="C105">
        <f>VLOOKUP(A105,Articles!A:D,4,FALSE)</f>
        <v>2</v>
      </c>
      <c r="D105">
        <f>SUMIFS(Ventes!C:C,Ventes!B:B,A105)</f>
        <v>1</v>
      </c>
      <c r="E105">
        <f t="shared" si="1"/>
        <v>1</v>
      </c>
      <c r="F105">
        <f>SUMIFS(Ventes!D:D,Ventes!B:B,A105)</f>
        <v>7000</v>
      </c>
      <c r="G105">
        <f>SUMIFS(Ventes!G:G,Ventes!B:B,A105)</f>
        <v>3801</v>
      </c>
    </row>
    <row r="106" spans="1:7" x14ac:dyDescent="0.2">
      <c r="A106" t="s">
        <v>308</v>
      </c>
      <c r="B106" t="str">
        <f>VLOOKUP(A106,Articles!A:B,2,FALSE)</f>
        <v>NAY GREN SIMPLES</v>
      </c>
      <c r="C106">
        <f>VLOOKUP(A106,Articles!A:D,4,FALSE)</f>
        <v>78</v>
      </c>
      <c r="D106">
        <f>SUMIFS(Ventes!C:C,Ventes!B:B,A106)</f>
        <v>28</v>
      </c>
      <c r="E106">
        <f t="shared" si="1"/>
        <v>50</v>
      </c>
      <c r="F106">
        <f>SUMIFS(Ventes!D:D,Ventes!B:B,A106)</f>
        <v>28400</v>
      </c>
      <c r="G106">
        <f>SUMIFS(Ventes!G:G,Ventes!B:B,A106)</f>
        <v>44604</v>
      </c>
    </row>
    <row r="107" spans="1:7" x14ac:dyDescent="0.2">
      <c r="A107" t="s">
        <v>275</v>
      </c>
      <c r="B107" t="str">
        <f>VLOOKUP(A107,Articles!A:B,2,FALSE)</f>
        <v>MURAT BARBO LM</v>
      </c>
      <c r="C107">
        <f>VLOOKUP(A107,Articles!A:D,4,FALSE)</f>
        <v>6</v>
      </c>
      <c r="D107">
        <f>SUMIFS(Ventes!C:C,Ventes!B:B,A107)</f>
        <v>4</v>
      </c>
      <c r="E107">
        <f t="shared" si="1"/>
        <v>2</v>
      </c>
      <c r="F107">
        <f>SUMIFS(Ventes!D:D,Ventes!B:B,A107)</f>
        <v>4500</v>
      </c>
      <c r="G107">
        <f>SUMIFS(Ventes!G:G,Ventes!B:B,A107)</f>
        <v>4000</v>
      </c>
    </row>
    <row r="108" spans="1:7" x14ac:dyDescent="0.2">
      <c r="A108" t="s">
        <v>331</v>
      </c>
      <c r="B108" t="str">
        <f>VLOOKUP(A108,Articles!A:B,2,FALSE)</f>
        <v>TURQUIE CHAUSSETTES</v>
      </c>
      <c r="C108">
        <f>VLOOKUP(A108,Articles!A:D,4,FALSE)</f>
        <v>20</v>
      </c>
      <c r="D108">
        <f>SUMIFS(Ventes!C:C,Ventes!B:B,A108)</f>
        <v>15</v>
      </c>
      <c r="E108">
        <f t="shared" si="1"/>
        <v>5</v>
      </c>
      <c r="F108">
        <f>SUMIFS(Ventes!D:D,Ventes!B:B,A108)</f>
        <v>1002</v>
      </c>
      <c r="G108">
        <f>SUMIFS(Ventes!G:G,Ventes!B:B,A108)</f>
        <v>2505</v>
      </c>
    </row>
    <row r="109" spans="1:7" x14ac:dyDescent="0.2">
      <c r="A109" t="s">
        <v>250</v>
      </c>
      <c r="B109" t="str">
        <f>VLOOKUP(A109,Articles!A:B,2,FALSE)</f>
        <v>MC COLLANT</v>
      </c>
      <c r="C109">
        <f>VLOOKUP(A109,Articles!A:D,4,FALSE)</f>
        <v>4</v>
      </c>
      <c r="D109">
        <f>SUMIFS(Ventes!C:C,Ventes!B:B,A109)</f>
        <v>8</v>
      </c>
      <c r="E109">
        <f t="shared" si="1"/>
        <v>-4</v>
      </c>
      <c r="F109">
        <f>SUMIFS(Ventes!D:D,Ventes!B:B,A109)</f>
        <v>5500</v>
      </c>
      <c r="G109">
        <f>SUMIFS(Ventes!G:G,Ventes!B:B,A109)</f>
        <v>4500</v>
      </c>
    </row>
    <row r="110" spans="1:7" x14ac:dyDescent="0.2">
      <c r="A110" t="s">
        <v>227</v>
      </c>
      <c r="B110" t="str">
        <f>VLOOKUP(A110,Articles!A:B,2,FALSE)</f>
        <v>KIDEX ROBE CHAPEAU PAILLE</v>
      </c>
      <c r="C110">
        <f>VLOOKUP(A110,Articles!A:D,4,FALSE)</f>
        <v>16</v>
      </c>
      <c r="D110">
        <f>SUMIFS(Ventes!C:C,Ventes!B:B,A110)</f>
        <v>15</v>
      </c>
      <c r="E110">
        <f t="shared" si="1"/>
        <v>1</v>
      </c>
      <c r="F110">
        <f>SUMIFS(Ventes!D:D,Ventes!B:B,A110)</f>
        <v>73500</v>
      </c>
      <c r="G110">
        <f>SUMIFS(Ventes!G:G,Ventes!B:B,A110)</f>
        <v>45040</v>
      </c>
    </row>
    <row r="111" spans="1:7" x14ac:dyDescent="0.2">
      <c r="A111" t="s">
        <v>227</v>
      </c>
      <c r="B111" t="str">
        <f>VLOOKUP(A111,Articles!A:B,2,FALSE)</f>
        <v>KIDEX ROBE CHAPEAU PAILLE</v>
      </c>
      <c r="C111">
        <f>VLOOKUP(A111,Articles!A:D,4,FALSE)</f>
        <v>16</v>
      </c>
      <c r="D111">
        <f>SUMIFS(Ventes!C:C,Ventes!B:B,A111)</f>
        <v>15</v>
      </c>
      <c r="E111">
        <f t="shared" si="1"/>
        <v>1</v>
      </c>
      <c r="F111">
        <f>SUMIFS(Ventes!D:D,Ventes!B:B,A111)</f>
        <v>73500</v>
      </c>
      <c r="G111">
        <f>SUMIFS(Ventes!G:G,Ventes!B:B,A111)</f>
        <v>45040</v>
      </c>
    </row>
    <row r="112" spans="1:7" x14ac:dyDescent="0.2">
      <c r="A112" t="s">
        <v>189</v>
      </c>
      <c r="B112" t="str">
        <f>VLOOKUP(A112,Articles!A:B,2,FALSE)</f>
        <v>BELLA CHAUSSETTE BALLERINE</v>
      </c>
      <c r="C112">
        <f>VLOOKUP(A112,Articles!A:D,4,FALSE)</f>
        <v>60</v>
      </c>
      <c r="D112">
        <f>SUMIFS(Ventes!C:C,Ventes!B:B,A112)</f>
        <v>53</v>
      </c>
      <c r="E112">
        <f t="shared" si="1"/>
        <v>7</v>
      </c>
      <c r="F112">
        <f>SUMIFS(Ventes!D:D,Ventes!B:B,A112)</f>
        <v>12000</v>
      </c>
      <c r="G112">
        <f>SUMIFS(Ventes!G:G,Ventes!B:B,A112)</f>
        <v>28973.510000000002</v>
      </c>
    </row>
    <row r="113" spans="1:7" x14ac:dyDescent="0.2">
      <c r="A113" t="s">
        <v>227</v>
      </c>
      <c r="B113" t="str">
        <f>VLOOKUP(A113,Articles!A:B,2,FALSE)</f>
        <v>KIDEX ROBE CHAPEAU PAILLE</v>
      </c>
      <c r="C113">
        <f>VLOOKUP(A113,Articles!A:D,4,FALSE)</f>
        <v>16</v>
      </c>
      <c r="D113">
        <f>SUMIFS(Ventes!C:C,Ventes!B:B,A113)</f>
        <v>15</v>
      </c>
      <c r="E113">
        <f t="shared" si="1"/>
        <v>1</v>
      </c>
      <c r="F113">
        <f>SUMIFS(Ventes!D:D,Ventes!B:B,A113)</f>
        <v>73500</v>
      </c>
      <c r="G113">
        <f>SUMIFS(Ventes!G:G,Ventes!B:B,A113)</f>
        <v>45040</v>
      </c>
    </row>
    <row r="114" spans="1:7" x14ac:dyDescent="0.2">
      <c r="A114" t="s">
        <v>186</v>
      </c>
      <c r="B114" t="str">
        <f>VLOOKUP(A114,Articles!A:B,2,FALSE)</f>
        <v>BELLA BANDEAUX</v>
      </c>
      <c r="C114">
        <f>VLOOKUP(A114,Articles!A:D,4,FALSE)</f>
        <v>85</v>
      </c>
      <c r="D114">
        <f>SUMIFS(Ventes!C:C,Ventes!B:B,A114)</f>
        <v>60</v>
      </c>
      <c r="E114">
        <f t="shared" si="1"/>
        <v>25</v>
      </c>
      <c r="F114">
        <f>SUMIFS(Ventes!D:D,Ventes!B:B,A114)</f>
        <v>20500</v>
      </c>
      <c r="G114">
        <f>SUMIFS(Ventes!G:G,Ventes!B:B,A114)</f>
        <v>43000</v>
      </c>
    </row>
    <row r="115" spans="1:7" x14ac:dyDescent="0.2">
      <c r="A115" t="s">
        <v>262</v>
      </c>
      <c r="B115" t="str">
        <f>VLOOKUP(A115,Articles!A:B,2,FALSE)</f>
        <v>MINILOVE PANTALON</v>
      </c>
      <c r="C115">
        <f>VLOOKUP(A115,Articles!A:D,4,FALSE)</f>
        <v>24</v>
      </c>
      <c r="D115">
        <f>SUMIFS(Ventes!C:C,Ventes!B:B,A115)</f>
        <v>7</v>
      </c>
      <c r="E115">
        <f t="shared" si="1"/>
        <v>17</v>
      </c>
      <c r="F115">
        <f>SUMIFS(Ventes!D:D,Ventes!B:B,A115)</f>
        <v>7000</v>
      </c>
      <c r="G115">
        <f>SUMIFS(Ventes!G:G,Ventes!B:B,A115)</f>
        <v>6620</v>
      </c>
    </row>
    <row r="116" spans="1:7" x14ac:dyDescent="0.2">
      <c r="A116" t="s">
        <v>280</v>
      </c>
      <c r="B116" t="str">
        <f>VLOOKUP(A116,Articles!A:B,2,FALSE)</f>
        <v>MURAT ENS 02P NAISS CŒUR</v>
      </c>
      <c r="C116">
        <f>VLOOKUP(A116,Articles!A:D,4,FALSE)</f>
        <v>4</v>
      </c>
      <c r="D116">
        <f>SUMIFS(Ventes!C:C,Ventes!B:B,A116)</f>
        <v>4</v>
      </c>
      <c r="E116">
        <f t="shared" si="1"/>
        <v>0</v>
      </c>
      <c r="F116">
        <f>SUMIFS(Ventes!D:D,Ventes!B:B,A116)</f>
        <v>23500</v>
      </c>
      <c r="G116">
        <f>SUMIFS(Ventes!G:G,Ventes!B:B,A116)</f>
        <v>12440</v>
      </c>
    </row>
    <row r="117" spans="1:7" x14ac:dyDescent="0.2">
      <c r="A117" t="s">
        <v>174</v>
      </c>
      <c r="B117" t="str">
        <f>VLOOKUP(A117,Articles!A:B,2,FALSE)</f>
        <v>BABYBUU ROBE</v>
      </c>
      <c r="C117">
        <f>VLOOKUP(A117,Articles!A:D,4,FALSE)</f>
        <v>12</v>
      </c>
      <c r="D117">
        <f>SUMIFS(Ventes!C:C,Ventes!B:B,A117)</f>
        <v>11</v>
      </c>
      <c r="E117">
        <f t="shared" si="1"/>
        <v>1</v>
      </c>
      <c r="F117">
        <f>SUMIFS(Ventes!D:D,Ventes!B:B,A117)</f>
        <v>47000</v>
      </c>
      <c r="G117">
        <f>SUMIFS(Ventes!G:G,Ventes!B:B,A117)</f>
        <v>33892</v>
      </c>
    </row>
    <row r="118" spans="1:7" x14ac:dyDescent="0.2">
      <c r="A118" t="s">
        <v>292</v>
      </c>
      <c r="B118" t="str">
        <f>VLOOKUP(A118,Articles!A:B,2,FALSE)</f>
        <v>MURAT ROBE JEAN-TISSU</v>
      </c>
      <c r="C118">
        <f>VLOOKUP(A118,Articles!A:D,4,FALSE)</f>
        <v>4</v>
      </c>
      <c r="D118">
        <f>SUMIFS(Ventes!C:C,Ventes!B:B,A118)</f>
        <v>3</v>
      </c>
      <c r="E118">
        <f t="shared" si="1"/>
        <v>1</v>
      </c>
      <c r="F118">
        <f>SUMIFS(Ventes!D:D,Ventes!B:B,A118)</f>
        <v>17000</v>
      </c>
      <c r="G118">
        <f>SUMIFS(Ventes!G:G,Ventes!B:B,A118)</f>
        <v>8705</v>
      </c>
    </row>
    <row r="119" spans="1:7" x14ac:dyDescent="0.2">
      <c r="A119" t="s">
        <v>290</v>
      </c>
      <c r="B119" t="str">
        <f>VLOOKUP(A119,Articles!A:B,2,FALSE)</f>
        <v>MURAT ROBE JEAN DENTELLE HAUT</v>
      </c>
      <c r="C119">
        <f>VLOOKUP(A119,Articles!A:D,4,FALSE)</f>
        <v>4</v>
      </c>
      <c r="D119">
        <f>SUMIFS(Ventes!C:C,Ventes!B:B,A119)</f>
        <v>2</v>
      </c>
      <c r="E119">
        <f t="shared" si="1"/>
        <v>2</v>
      </c>
      <c r="F119">
        <f>SUMIFS(Ventes!D:D,Ventes!B:B,A119)</f>
        <v>12000</v>
      </c>
      <c r="G119">
        <f>SUMIFS(Ventes!G:G,Ventes!B:B,A119)</f>
        <v>6470</v>
      </c>
    </row>
    <row r="120" spans="1:7" x14ac:dyDescent="0.2">
      <c r="A120" t="s">
        <v>190</v>
      </c>
      <c r="B120" t="str">
        <f>VLOOKUP(A120,Articles!A:B,2,FALSE)</f>
        <v>BELLA CHAUSSETTE COLLANT NŒUD</v>
      </c>
      <c r="C120">
        <f>VLOOKUP(A120,Articles!A:D,4,FALSE)</f>
        <v>71</v>
      </c>
      <c r="D120">
        <f>SUMIFS(Ventes!C:C,Ventes!B:B,A120)</f>
        <v>29</v>
      </c>
      <c r="E120">
        <f t="shared" si="1"/>
        <v>42</v>
      </c>
      <c r="F120">
        <f>SUMIFS(Ventes!D:D,Ventes!B:B,A120)</f>
        <v>19000</v>
      </c>
      <c r="G120">
        <f>SUMIFS(Ventes!G:G,Ventes!B:B,A120)</f>
        <v>34396.5</v>
      </c>
    </row>
    <row r="121" spans="1:7" x14ac:dyDescent="0.2">
      <c r="A121" t="s">
        <v>209</v>
      </c>
      <c r="B121" t="str">
        <f>VLOOKUP(A121,Articles!A:B,2,FALSE)</f>
        <v>DAMLA ENS 02P VERT CULOTTE FILLE</v>
      </c>
      <c r="C121">
        <f>VLOOKUP(A121,Articles!A:D,4,FALSE)</f>
        <v>4</v>
      </c>
      <c r="D121">
        <f>SUMIFS(Ventes!C:C,Ventes!B:B,A121)</f>
        <v>3</v>
      </c>
      <c r="E121">
        <f t="shared" si="1"/>
        <v>1</v>
      </c>
      <c r="F121">
        <f>SUMIFS(Ventes!D:D,Ventes!B:B,A121)</f>
        <v>12000</v>
      </c>
      <c r="G121">
        <f>SUMIFS(Ventes!G:G,Ventes!B:B,A121)</f>
        <v>9827</v>
      </c>
    </row>
    <row r="122" spans="1:7" x14ac:dyDescent="0.2">
      <c r="A122" t="s">
        <v>337</v>
      </c>
      <c r="B122" t="str">
        <f>VLOOKUP(A122,Articles!A:B,2,FALSE)</f>
        <v>MC PULL OVER</v>
      </c>
      <c r="C122">
        <f>VLOOKUP(A122,Articles!A:D,4,FALSE)</f>
        <v>5</v>
      </c>
      <c r="D122">
        <f>SUMIFS(Ventes!C:C,Ventes!B:B,A122)</f>
        <v>2</v>
      </c>
      <c r="E122">
        <f t="shared" si="1"/>
        <v>3</v>
      </c>
      <c r="F122">
        <f>SUMIFS(Ventes!D:D,Ventes!B:B,A122)</f>
        <v>4500</v>
      </c>
      <c r="G122">
        <f>SUMIFS(Ventes!G:G,Ventes!B:B,A122)</f>
        <v>2000</v>
      </c>
    </row>
    <row r="123" spans="1:7" x14ac:dyDescent="0.2">
      <c r="A123" t="s">
        <v>186</v>
      </c>
      <c r="B123" t="str">
        <f>VLOOKUP(A123,Articles!A:B,2,FALSE)</f>
        <v>BELLA BANDEAUX</v>
      </c>
      <c r="C123">
        <f>VLOOKUP(A123,Articles!A:D,4,FALSE)</f>
        <v>85</v>
      </c>
      <c r="D123">
        <f>SUMIFS(Ventes!C:C,Ventes!B:B,A123)</f>
        <v>60</v>
      </c>
      <c r="E123">
        <f t="shared" si="1"/>
        <v>25</v>
      </c>
      <c r="F123">
        <f>SUMIFS(Ventes!D:D,Ventes!B:B,A123)</f>
        <v>20500</v>
      </c>
      <c r="G123">
        <f>SUMIFS(Ventes!G:G,Ventes!B:B,A123)</f>
        <v>43000</v>
      </c>
    </row>
    <row r="124" spans="1:7" x14ac:dyDescent="0.2">
      <c r="A124" t="s">
        <v>190</v>
      </c>
      <c r="B124" t="str">
        <f>VLOOKUP(A124,Articles!A:B,2,FALSE)</f>
        <v>BELLA CHAUSSETTE COLLANT NŒUD</v>
      </c>
      <c r="C124">
        <f>VLOOKUP(A124,Articles!A:D,4,FALSE)</f>
        <v>71</v>
      </c>
      <c r="D124">
        <f>SUMIFS(Ventes!C:C,Ventes!B:B,A124)</f>
        <v>29</v>
      </c>
      <c r="E124">
        <f t="shared" si="1"/>
        <v>42</v>
      </c>
      <c r="F124">
        <f>SUMIFS(Ventes!D:D,Ventes!B:B,A124)</f>
        <v>19000</v>
      </c>
      <c r="G124">
        <f>SUMIFS(Ventes!G:G,Ventes!B:B,A124)</f>
        <v>34396.5</v>
      </c>
    </row>
    <row r="125" spans="1:7" x14ac:dyDescent="0.2">
      <c r="A125" t="s">
        <v>308</v>
      </c>
      <c r="B125" t="str">
        <f>VLOOKUP(A125,Articles!A:B,2,FALSE)</f>
        <v>NAY GREN SIMPLES</v>
      </c>
      <c r="C125">
        <f>VLOOKUP(A125,Articles!A:D,4,FALSE)</f>
        <v>78</v>
      </c>
      <c r="D125">
        <f>SUMIFS(Ventes!C:C,Ventes!B:B,A125)</f>
        <v>28</v>
      </c>
      <c r="E125">
        <f t="shared" si="1"/>
        <v>50</v>
      </c>
      <c r="F125">
        <f>SUMIFS(Ventes!D:D,Ventes!B:B,A125)</f>
        <v>28400</v>
      </c>
      <c r="G125">
        <f>SUMIFS(Ventes!G:G,Ventes!B:B,A125)</f>
        <v>44604</v>
      </c>
    </row>
    <row r="126" spans="1:7" x14ac:dyDescent="0.2">
      <c r="A126" t="s">
        <v>6</v>
      </c>
      <c r="B126" t="str">
        <f>VLOOKUP(A126,Articles!A:B,2,FALSE)</f>
        <v>BABY F CHAPEAUX 01 PONPON</v>
      </c>
      <c r="C126">
        <f>VLOOKUP(A126,Articles!A:D,4,FALSE)</f>
        <v>5</v>
      </c>
      <c r="D126">
        <f>SUMIFS(Ventes!C:C,Ventes!B:B,A126)</f>
        <v>2</v>
      </c>
      <c r="E126">
        <f t="shared" si="1"/>
        <v>3</v>
      </c>
      <c r="F126">
        <f>SUMIFS(Ventes!D:D,Ventes!B:B,A126)</f>
        <v>1000</v>
      </c>
      <c r="G126">
        <f>SUMIFS(Ventes!G:G,Ventes!B:B,A126)</f>
        <v>1000</v>
      </c>
    </row>
    <row r="127" spans="1:7" x14ac:dyDescent="0.2">
      <c r="A127" t="s">
        <v>239</v>
      </c>
      <c r="B127" t="str">
        <f>VLOOKUP(A127,Articles!A:B,2,FALSE)</f>
        <v>MC BARBO DM</v>
      </c>
      <c r="C127">
        <f>VLOOKUP(A127,Articles!A:D,4,FALSE)</f>
        <v>15</v>
      </c>
      <c r="D127">
        <f>SUMIFS(Ventes!C:C,Ventes!B:B,A127)</f>
        <v>2</v>
      </c>
      <c r="E127">
        <f t="shared" si="1"/>
        <v>13</v>
      </c>
      <c r="F127">
        <f>SUMIFS(Ventes!D:D,Ventes!B:B,A127)</f>
        <v>2000</v>
      </c>
      <c r="G127">
        <f>SUMIFS(Ventes!G:G,Ventes!B:B,A127)</f>
        <v>1000</v>
      </c>
    </row>
    <row r="128" spans="1:7" x14ac:dyDescent="0.2">
      <c r="A128" t="s">
        <v>238</v>
      </c>
      <c r="B128" t="str">
        <f>VLOOKUP(A128,Articles!A:B,2,FALSE)</f>
        <v>MC BARBO CM</v>
      </c>
      <c r="C128">
        <f>VLOOKUP(A128,Articles!A:D,4,FALSE)</f>
        <v>17</v>
      </c>
      <c r="D128">
        <f>SUMIFS(Ventes!C:C,Ventes!B:B,A128)</f>
        <v>5</v>
      </c>
      <c r="E128">
        <f t="shared" si="1"/>
        <v>12</v>
      </c>
      <c r="F128">
        <f>SUMIFS(Ventes!D:D,Ventes!B:B,A128)</f>
        <v>6000</v>
      </c>
      <c r="G128">
        <f>SUMIFS(Ventes!G:G,Ventes!B:B,A128)</f>
        <v>2500</v>
      </c>
    </row>
    <row r="129" spans="1:7" x14ac:dyDescent="0.2">
      <c r="A129" t="s">
        <v>250</v>
      </c>
      <c r="B129" t="str">
        <f>VLOOKUP(A129,Articles!A:B,2,FALSE)</f>
        <v>MC COLLANT</v>
      </c>
      <c r="C129">
        <f>VLOOKUP(A129,Articles!A:D,4,FALSE)</f>
        <v>4</v>
      </c>
      <c r="D129">
        <f>SUMIFS(Ventes!C:C,Ventes!B:B,A129)</f>
        <v>8</v>
      </c>
      <c r="E129">
        <f t="shared" si="1"/>
        <v>-4</v>
      </c>
      <c r="F129">
        <f>SUMIFS(Ventes!D:D,Ventes!B:B,A129)</f>
        <v>5500</v>
      </c>
      <c r="G129">
        <f>SUMIFS(Ventes!G:G,Ventes!B:B,A129)</f>
        <v>4500</v>
      </c>
    </row>
    <row r="130" spans="1:7" x14ac:dyDescent="0.2">
      <c r="A130" t="s">
        <v>262</v>
      </c>
      <c r="B130" t="str">
        <f>VLOOKUP(A130,Articles!A:B,2,FALSE)</f>
        <v>MINILOVE PANTALON</v>
      </c>
      <c r="C130">
        <f>VLOOKUP(A130,Articles!A:D,4,FALSE)</f>
        <v>24</v>
      </c>
      <c r="D130">
        <f>SUMIFS(Ventes!C:C,Ventes!B:B,A130)</f>
        <v>7</v>
      </c>
      <c r="E130">
        <f t="shared" si="1"/>
        <v>17</v>
      </c>
      <c r="F130">
        <f>SUMIFS(Ventes!D:D,Ventes!B:B,A130)</f>
        <v>7000</v>
      </c>
      <c r="G130">
        <f>SUMIFS(Ventes!G:G,Ventes!B:B,A130)</f>
        <v>6620</v>
      </c>
    </row>
    <row r="131" spans="1:7" s="2" customFormat="1" x14ac:dyDescent="0.2">
      <c r="A131" s="2" t="s">
        <v>200</v>
      </c>
      <c r="B131" s="2" t="str">
        <f>VLOOKUP(A131,Articles!A:B,2,FALSE)</f>
        <v>COSAY ENS 03P GROS CŒUR</v>
      </c>
      <c r="C131" s="2">
        <f>VLOOKUP(A131,Articles!A:D,4,FALSE)</f>
        <v>3</v>
      </c>
      <c r="D131" s="2">
        <f>SUMIFS(Ventes!C:C,Ventes!B:B,A131)</f>
        <v>3</v>
      </c>
      <c r="E131" s="2">
        <f t="shared" si="1"/>
        <v>0</v>
      </c>
      <c r="F131" s="2">
        <f>SUMIFS(Ventes!D:D,Ventes!B:B,A131)</f>
        <v>24000</v>
      </c>
      <c r="G131" s="2">
        <f>SUMIFS(Ventes!G:G,Ventes!B:B,A131)</f>
        <v>12597</v>
      </c>
    </row>
    <row r="132" spans="1:7" x14ac:dyDescent="0.2">
      <c r="A132" t="s">
        <v>286</v>
      </c>
      <c r="B132" t="str">
        <f>VLOOKUP(A132,Articles!A:B,2,FALSE)</f>
        <v>MURAT MINI COMBI CŒUR FROUFROU</v>
      </c>
      <c r="C132">
        <f>VLOOKUP(A132,Articles!A:D,4,FALSE)</f>
        <v>4</v>
      </c>
      <c r="D132">
        <f>SUMIFS(Ventes!C:C,Ventes!B:B,A132)</f>
        <v>1</v>
      </c>
      <c r="E132">
        <f t="shared" si="1"/>
        <v>3</v>
      </c>
      <c r="F132">
        <f>SUMIFS(Ventes!D:D,Ventes!B:B,A132)</f>
        <v>5000</v>
      </c>
      <c r="G132">
        <f>SUMIFS(Ventes!G:G,Ventes!B:B,A132)</f>
        <v>2585</v>
      </c>
    </row>
    <row r="133" spans="1:7" x14ac:dyDescent="0.2">
      <c r="A133" t="s">
        <v>314</v>
      </c>
      <c r="B133" t="str">
        <f>VLOOKUP(A133,Articles!A:B,2,FALSE)</f>
        <v>NONO ROBE FLEURIE</v>
      </c>
      <c r="C133">
        <f>VLOOKUP(A133,Articles!A:D,4,FALSE)</f>
        <v>4</v>
      </c>
      <c r="D133">
        <f>SUMIFS(Ventes!C:C,Ventes!B:B,A133)</f>
        <v>3</v>
      </c>
      <c r="E133">
        <f t="shared" ref="E133:E196" si="2">C133-D133</f>
        <v>1</v>
      </c>
      <c r="F133">
        <f>SUMIFS(Ventes!D:D,Ventes!B:B,A133)</f>
        <v>17000</v>
      </c>
      <c r="G133">
        <f>SUMIFS(Ventes!G:G,Ventes!B:B,A133)</f>
        <v>12480</v>
      </c>
    </row>
    <row r="134" spans="1:7" s="2" customFormat="1" x14ac:dyDescent="0.2">
      <c r="A134" s="2" t="s">
        <v>341</v>
      </c>
      <c r="B134" s="2" t="str">
        <f>VLOOKUP(A134,Articles!A:B,2,FALSE)</f>
        <v>MC ENS 03P FILLE</v>
      </c>
      <c r="C134" s="2">
        <f>VLOOKUP(A134,Articles!A:D,4,FALSE)</f>
        <v>1</v>
      </c>
      <c r="D134" s="2">
        <f>SUMIFS(Ventes!C:C,Ventes!B:B,A134)</f>
        <v>1</v>
      </c>
      <c r="E134" s="2">
        <f t="shared" si="2"/>
        <v>0</v>
      </c>
      <c r="F134" s="2">
        <f>SUMIFS(Ventes!D:D,Ventes!B:B,A134)</f>
        <v>7000</v>
      </c>
      <c r="G134" s="2">
        <f>SUMIFS(Ventes!G:G,Ventes!B:B,A134)</f>
        <v>1000</v>
      </c>
    </row>
    <row r="135" spans="1:7" s="2" customFormat="1" x14ac:dyDescent="0.2">
      <c r="A135" s="2" t="s">
        <v>321</v>
      </c>
      <c r="B135" s="2" t="str">
        <f>VLOOKUP(A135,Articles!A:B,2,FALSE)</f>
        <v>TIMO ROBE FLEURI ROSE</v>
      </c>
      <c r="C135" s="2">
        <f>VLOOKUP(A135,Articles!A:D,4,FALSE)</f>
        <v>4</v>
      </c>
      <c r="D135" s="2">
        <f>SUMIFS(Ventes!C:C,Ventes!B:B,A135)</f>
        <v>4</v>
      </c>
      <c r="E135" s="2">
        <f t="shared" si="2"/>
        <v>0</v>
      </c>
      <c r="F135" s="2">
        <f>SUMIFS(Ventes!D:D,Ventes!B:B,A135)</f>
        <v>26500</v>
      </c>
      <c r="G135" s="2">
        <f>SUMIFS(Ventes!G:G,Ventes!B:B,A135)</f>
        <v>17496</v>
      </c>
    </row>
    <row r="136" spans="1:7" x14ac:dyDescent="0.2">
      <c r="A136" s="3" t="s">
        <v>280</v>
      </c>
      <c r="B136" t="str">
        <f>VLOOKUP(A136,Articles!A:B,2,FALSE)</f>
        <v>MURAT ENS 02P NAISS CŒUR</v>
      </c>
      <c r="C136">
        <f>VLOOKUP(A136,Articles!A:D,4,FALSE)</f>
        <v>4</v>
      </c>
      <c r="D136">
        <f>SUMIFS(Ventes!C:C,Ventes!B:B,A136)</f>
        <v>4</v>
      </c>
      <c r="E136">
        <f t="shared" si="2"/>
        <v>0</v>
      </c>
      <c r="F136">
        <f>SUMIFS(Ventes!D:D,Ventes!B:B,A136)</f>
        <v>23500</v>
      </c>
      <c r="G136">
        <f>SUMIFS(Ventes!G:G,Ventes!B:B,A136)</f>
        <v>12440</v>
      </c>
    </row>
    <row r="137" spans="1:7" x14ac:dyDescent="0.2">
      <c r="A137" s="3" t="s">
        <v>213</v>
      </c>
      <c r="B137" t="str">
        <f>VLOOKUP(A137,Articles!A:B,2,FALSE)</f>
        <v>ELCI ENS VERT/JAUNE NAISSANCE 03P</v>
      </c>
      <c r="C137">
        <f>VLOOKUP(A137,Articles!A:D,4,FALSE)</f>
        <v>4</v>
      </c>
      <c r="D137">
        <f>SUMIFS(Ventes!C:C,Ventes!B:B,A137)</f>
        <v>2</v>
      </c>
      <c r="E137">
        <f t="shared" si="2"/>
        <v>2</v>
      </c>
      <c r="F137">
        <f>SUMIFS(Ventes!D:D,Ventes!B:B,A137)</f>
        <v>15000</v>
      </c>
      <c r="G137">
        <f>SUMIFS(Ventes!G:G,Ventes!B:B,A137)</f>
        <v>7748</v>
      </c>
    </row>
    <row r="138" spans="1:7" x14ac:dyDescent="0.2">
      <c r="A138" t="s">
        <v>300</v>
      </c>
      <c r="B138" t="str">
        <f>VLOOKUP(A138,Articles!A:B,2,FALSE)</f>
        <v>NANON MINI GREN FILLE</v>
      </c>
      <c r="C138">
        <f>VLOOKUP(A138,Articles!A:D,4,FALSE)</f>
        <v>8</v>
      </c>
      <c r="D138">
        <f>SUMIFS(Ventes!C:C,Ventes!B:B,A138)</f>
        <v>1</v>
      </c>
      <c r="E138">
        <f t="shared" si="2"/>
        <v>7</v>
      </c>
      <c r="F138">
        <f>SUMIFS(Ventes!D:D,Ventes!B:B,A138)</f>
        <v>2500</v>
      </c>
      <c r="G138">
        <f>SUMIFS(Ventes!G:G,Ventes!B:B,A138)</f>
        <v>0</v>
      </c>
    </row>
    <row r="139" spans="1:7" x14ac:dyDescent="0.2">
      <c r="A139" t="s">
        <v>257</v>
      </c>
      <c r="B139" t="str">
        <f>VLOOKUP(A139,Articles!A:B,2,FALSE)</f>
        <v>MINI EMLEX ROBE VERTE</v>
      </c>
      <c r="C139">
        <f>VLOOKUP(A139,Articles!A:D,4,FALSE)</f>
        <v>3</v>
      </c>
      <c r="D139">
        <f>SUMIFS(Ventes!C:C,Ventes!B:B,A139)</f>
        <v>1</v>
      </c>
      <c r="E139">
        <f t="shared" si="2"/>
        <v>2</v>
      </c>
      <c r="F139">
        <f>SUMIFS(Ventes!D:D,Ventes!B:B,A139)</f>
        <v>8500</v>
      </c>
      <c r="G139">
        <f>SUMIFS(Ventes!G:G,Ventes!B:B,A139)</f>
        <v>4230</v>
      </c>
    </row>
    <row r="140" spans="1:7" x14ac:dyDescent="0.2">
      <c r="A140" t="s">
        <v>298</v>
      </c>
      <c r="B140" t="str">
        <f>VLOOKUP(A140,Articles!A:B,2,FALSE)</f>
        <v>NANON ENS FILLE CULOTTE FLEURI</v>
      </c>
      <c r="C140">
        <f>VLOOKUP(A140,Articles!A:D,4,FALSE)</f>
        <v>1</v>
      </c>
      <c r="D140">
        <f>SUMIFS(Ventes!C:C,Ventes!B:B,A140)</f>
        <v>1</v>
      </c>
      <c r="E140">
        <f t="shared" si="2"/>
        <v>0</v>
      </c>
      <c r="F140">
        <f>SUMIFS(Ventes!D:D,Ventes!B:B,A140)</f>
        <v>7000</v>
      </c>
      <c r="G140">
        <f>SUMIFS(Ventes!G:G,Ventes!B:B,A140)</f>
        <v>3250</v>
      </c>
    </row>
    <row r="141" spans="1:7" x14ac:dyDescent="0.2">
      <c r="A141" t="s">
        <v>229</v>
      </c>
      <c r="B141" t="str">
        <f>VLOOKUP(A141,Articles!A:B,2,FALSE)</f>
        <v>KITY SALOPETTE</v>
      </c>
      <c r="C141">
        <f>VLOOKUP(A141,Articles!A:D,4,FALSE)</f>
        <v>6</v>
      </c>
      <c r="D141">
        <f>SUMIFS(Ventes!C:C,Ventes!B:B,A141)</f>
        <v>6</v>
      </c>
      <c r="E141">
        <f t="shared" si="2"/>
        <v>0</v>
      </c>
      <c r="F141">
        <f>SUMIFS(Ventes!D:D,Ventes!B:B,A141)</f>
        <v>48500</v>
      </c>
      <c r="G141">
        <f>SUMIFS(Ventes!G:G,Ventes!B:B,A141)</f>
        <v>24308</v>
      </c>
    </row>
    <row r="142" spans="1:7" x14ac:dyDescent="0.2">
      <c r="A142" t="s">
        <v>256</v>
      </c>
      <c r="B142" t="str">
        <f>VLOOKUP(A142,Articles!A:B,2,FALSE)</f>
        <v xml:space="preserve">MINI EMLEX ROBE ROSE </v>
      </c>
      <c r="C142">
        <f>VLOOKUP(A142,Articles!A:D,4,FALSE)</f>
        <v>3</v>
      </c>
      <c r="D142">
        <f>SUMIFS(Ventes!C:C,Ventes!B:B,A142)</f>
        <v>3</v>
      </c>
      <c r="E142">
        <f t="shared" si="2"/>
        <v>0</v>
      </c>
      <c r="F142">
        <f>SUMIFS(Ventes!D:D,Ventes!B:B,A142)</f>
        <v>15000</v>
      </c>
      <c r="G142">
        <f>SUMIFS(Ventes!G:G,Ventes!B:B,A142)</f>
        <v>11475</v>
      </c>
    </row>
    <row r="143" spans="1:7" x14ac:dyDescent="0.2">
      <c r="A143" t="s">
        <v>289</v>
      </c>
      <c r="B143" t="str">
        <f>VLOOKUP(A143,Articles!A:B,2,FALSE)</f>
        <v xml:space="preserve">MURAT ROBE CŒUR </v>
      </c>
      <c r="C143">
        <f>VLOOKUP(A143,Articles!A:D,4,FALSE)</f>
        <v>10</v>
      </c>
      <c r="D143">
        <f>SUMIFS(Ventes!C:C,Ventes!B:B,A143)</f>
        <v>9</v>
      </c>
      <c r="E143">
        <f t="shared" si="2"/>
        <v>1</v>
      </c>
      <c r="F143">
        <f>SUMIFS(Ventes!D:D,Ventes!B:B,A143)</f>
        <v>63000</v>
      </c>
      <c r="G143">
        <f>SUMIFS(Ventes!G:G,Ventes!B:B,A143)</f>
        <v>42125</v>
      </c>
    </row>
    <row r="144" spans="1:7" x14ac:dyDescent="0.2">
      <c r="A144" t="s">
        <v>198</v>
      </c>
      <c r="B144" t="str">
        <f>VLOOKUP(A144,Articles!A:B,2,FALSE)</f>
        <v>COSAY ENS 02P BABY 2025</v>
      </c>
      <c r="C144">
        <f>VLOOKUP(A144,Articles!A:D,4,FALSE)</f>
        <v>4</v>
      </c>
      <c r="D144">
        <f>SUMIFS(Ventes!C:C,Ventes!B:B,A144)</f>
        <v>2</v>
      </c>
      <c r="E144">
        <f t="shared" si="2"/>
        <v>2</v>
      </c>
      <c r="F144">
        <f>SUMIFS(Ventes!D:D,Ventes!B:B,A144)</f>
        <v>13000</v>
      </c>
      <c r="G144">
        <f>SUMIFS(Ventes!G:G,Ventes!B:B,A144)</f>
        <v>8506</v>
      </c>
    </row>
    <row r="145" spans="1:7" x14ac:dyDescent="0.2">
      <c r="A145" t="s">
        <v>293</v>
      </c>
      <c r="B145" t="str">
        <f>VLOOKUP(A145,Articles!A:B,2,FALSE)</f>
        <v>MURAT SALOPETTE FILLE ORANGE</v>
      </c>
      <c r="C145">
        <f>VLOOKUP(A145,Articles!A:D,4,FALSE)</f>
        <v>4</v>
      </c>
      <c r="D145">
        <f>SUMIFS(Ventes!C:C,Ventes!B:B,A145)</f>
        <v>3</v>
      </c>
      <c r="E145">
        <f t="shared" si="2"/>
        <v>1</v>
      </c>
      <c r="F145">
        <f>SUMIFS(Ventes!D:D,Ventes!B:B,A145)</f>
        <v>14500</v>
      </c>
      <c r="G145">
        <f>SUMIFS(Ventes!G:G,Ventes!B:B,A145)</f>
        <v>7675</v>
      </c>
    </row>
    <row r="146" spans="1:7" x14ac:dyDescent="0.2">
      <c r="A146" t="s">
        <v>181</v>
      </c>
      <c r="B146" t="str">
        <f>VLOOKUP(A146,Articles!A:B,2,FALSE)</f>
        <v>BB CHERI BABY F GREN</v>
      </c>
      <c r="C146">
        <f>VLOOKUP(A146,Articles!A:D,4,FALSE)</f>
        <v>4</v>
      </c>
      <c r="D146">
        <f>SUMIFS(Ventes!C:C,Ventes!B:B,A146)</f>
        <v>1</v>
      </c>
      <c r="E146">
        <f t="shared" si="2"/>
        <v>3</v>
      </c>
      <c r="F146">
        <f>SUMIFS(Ventes!D:D,Ventes!B:B,A146)</f>
        <v>8500</v>
      </c>
      <c r="G146">
        <f>SUMIFS(Ventes!G:G,Ventes!B:B,A146)</f>
        <v>4550</v>
      </c>
    </row>
    <row r="147" spans="1:7" x14ac:dyDescent="0.2">
      <c r="A147" t="s">
        <v>207</v>
      </c>
      <c r="B147" t="str">
        <f>VLOOKUP(A147,Articles!A:B,2,FALSE)</f>
        <v>DAMLA ENS 02P ROSE PANTALON</v>
      </c>
      <c r="C147">
        <f>VLOOKUP(A147,Articles!A:D,4,FALSE)</f>
        <v>4</v>
      </c>
      <c r="D147">
        <f>SUMIFS(Ventes!C:C,Ventes!B:B,A147)</f>
        <v>3</v>
      </c>
      <c r="E147">
        <f t="shared" si="2"/>
        <v>1</v>
      </c>
      <c r="F147">
        <f>SUMIFS(Ventes!D:D,Ventes!B:B,A147)</f>
        <v>15000</v>
      </c>
      <c r="G147">
        <f>SUMIFS(Ventes!G:G,Ventes!B:B,A147)</f>
        <v>7356</v>
      </c>
    </row>
    <row r="148" spans="1:7" s="2" customFormat="1" x14ac:dyDescent="0.2">
      <c r="A148" s="2" t="s">
        <v>229</v>
      </c>
      <c r="B148" s="2" t="str">
        <f>VLOOKUP(A148,Articles!A:B,2,FALSE)</f>
        <v>KITY SALOPETTE</v>
      </c>
      <c r="C148" s="2">
        <f>VLOOKUP(A148,Articles!A:D,4,FALSE)</f>
        <v>6</v>
      </c>
      <c r="D148" s="2">
        <f>SUMIFS(Ventes!C:C,Ventes!B:B,A148)</f>
        <v>6</v>
      </c>
      <c r="E148" s="2">
        <f t="shared" si="2"/>
        <v>0</v>
      </c>
      <c r="F148" s="2">
        <f>SUMIFS(Ventes!D:D,Ventes!B:B,A148)</f>
        <v>48500</v>
      </c>
      <c r="G148" s="2">
        <f>SUMIFS(Ventes!G:G,Ventes!B:B,A148)</f>
        <v>24308</v>
      </c>
    </row>
    <row r="149" spans="1:7" x14ac:dyDescent="0.2">
      <c r="A149" t="s">
        <v>260</v>
      </c>
      <c r="B149" t="str">
        <f>VLOOKUP(A149,Articles!A:B,2,FALSE)</f>
        <v>MINILOVE ENS NAISS GRIS 02P</v>
      </c>
      <c r="C149">
        <f>VLOOKUP(A149,Articles!A:D,4,FALSE)</f>
        <v>1</v>
      </c>
      <c r="D149">
        <f>SUMIFS(Ventes!C:C,Ventes!B:B,A149)</f>
        <v>1</v>
      </c>
      <c r="E149">
        <f t="shared" si="2"/>
        <v>0</v>
      </c>
      <c r="F149">
        <f>SUMIFS(Ventes!D:D,Ventes!B:B,A149)</f>
        <v>6000</v>
      </c>
      <c r="G149">
        <f>SUMIFS(Ventes!G:G,Ventes!B:B,A149)</f>
        <v>3000</v>
      </c>
    </row>
    <row r="150" spans="1:7" x14ac:dyDescent="0.2">
      <c r="A150" t="s">
        <v>294</v>
      </c>
      <c r="B150" t="str">
        <f>VLOOKUP(A150,Articles!A:B,2,FALSE)</f>
        <v>NAFITO MINI GREN</v>
      </c>
      <c r="C150">
        <f>VLOOKUP(A150,Articles!A:D,4,FALSE)</f>
        <v>2</v>
      </c>
      <c r="D150">
        <f>SUMIFS(Ventes!C:C,Ventes!B:B,A150)</f>
        <v>1</v>
      </c>
      <c r="E150">
        <f t="shared" si="2"/>
        <v>1</v>
      </c>
      <c r="F150">
        <f>SUMIFS(Ventes!D:D,Ventes!B:B,A150)</f>
        <v>5000</v>
      </c>
      <c r="G150">
        <f>SUMIFS(Ventes!G:G,Ventes!B:B,A150)</f>
        <v>2613</v>
      </c>
    </row>
    <row r="151" spans="1:7" s="2" customFormat="1" x14ac:dyDescent="0.2">
      <c r="A151" s="2" t="s">
        <v>343</v>
      </c>
      <c r="B151" s="2" t="str">
        <f>VLOOKUP(A151,Articles!A:B,2,FALSE)</f>
        <v xml:space="preserve">BELLO BABY GREN JAUNE </v>
      </c>
      <c r="C151" s="2">
        <f>VLOOKUP(A151,Articles!A:D,4,FALSE)</f>
        <v>1</v>
      </c>
      <c r="D151" s="2">
        <f>SUMIFS(Ventes!C:C,Ventes!B:B,A151)</f>
        <v>1</v>
      </c>
      <c r="E151" s="2">
        <f t="shared" si="2"/>
        <v>0</v>
      </c>
      <c r="F151" s="2">
        <f>SUMIFS(Ventes!D:D,Ventes!B:B,A151)</f>
        <v>5500</v>
      </c>
      <c r="G151" s="2">
        <f>SUMIFS(Ventes!G:G,Ventes!B:B,A151)</f>
        <v>2750</v>
      </c>
    </row>
    <row r="152" spans="1:7" s="2" customFormat="1" x14ac:dyDescent="0.2">
      <c r="A152" s="2" t="s">
        <v>345</v>
      </c>
      <c r="B152" s="2" t="str">
        <f>VLOOKUP(A152,Articles!A:B,2,FALSE)</f>
        <v>MINILOVE ENS NAISS 05P</v>
      </c>
      <c r="C152" s="2">
        <f>VLOOKUP(A152,Articles!A:D,4,FALSE)</f>
        <v>1</v>
      </c>
      <c r="D152" s="2">
        <f>SUMIFS(Ventes!C:C,Ventes!B:B,A152)</f>
        <v>1</v>
      </c>
      <c r="E152" s="2">
        <f t="shared" si="2"/>
        <v>0</v>
      </c>
      <c r="F152" s="2">
        <f>SUMIFS(Ventes!D:D,Ventes!B:B,A152)</f>
        <v>6500</v>
      </c>
      <c r="G152" s="2">
        <f>SUMIFS(Ventes!G:G,Ventes!B:B,A152)</f>
        <v>3250</v>
      </c>
    </row>
    <row r="153" spans="1:7" s="3" customFormat="1" x14ac:dyDescent="0.2">
      <c r="A153" s="3" t="s">
        <v>213</v>
      </c>
      <c r="B153" s="3" t="str">
        <f>VLOOKUP(A153,Articles!A:B,2,FALSE)</f>
        <v>ELCI ENS VERT/JAUNE NAISSANCE 03P</v>
      </c>
      <c r="C153" s="3">
        <f>VLOOKUP(A153,Articles!A:D,4,FALSE)</f>
        <v>4</v>
      </c>
      <c r="D153" s="3">
        <f>SUMIFS(Ventes!C:C,Ventes!B:B,A153)</f>
        <v>2</v>
      </c>
      <c r="E153" s="3">
        <f t="shared" si="2"/>
        <v>2</v>
      </c>
      <c r="F153" s="3">
        <f>SUMIFS(Ventes!D:D,Ventes!B:B,A153)</f>
        <v>15000</v>
      </c>
      <c r="G153" s="3">
        <f>SUMIFS(Ventes!G:G,Ventes!B:B,A153)</f>
        <v>7748</v>
      </c>
    </row>
    <row r="154" spans="1:7" x14ac:dyDescent="0.2">
      <c r="A154" t="s">
        <v>308</v>
      </c>
      <c r="B154" t="str">
        <f>VLOOKUP(A154,Articles!A:B,2,FALSE)</f>
        <v>NAY GREN SIMPLES</v>
      </c>
      <c r="C154">
        <f>VLOOKUP(A154,Articles!A:D,4,FALSE)</f>
        <v>78</v>
      </c>
      <c r="D154" s="3">
        <f>SUMIFS(Ventes!C:C,Ventes!B:B,A154)</f>
        <v>28</v>
      </c>
      <c r="E154">
        <f t="shared" si="2"/>
        <v>50</v>
      </c>
      <c r="F154" s="3">
        <f>SUMIFS(Ventes!D:D,Ventes!B:B,A154)</f>
        <v>28400</v>
      </c>
      <c r="G154">
        <f>SUMIFS(Ventes!G:G,Ventes!B:B,A154)</f>
        <v>44604</v>
      </c>
    </row>
    <row r="155" spans="1:7" x14ac:dyDescent="0.2">
      <c r="A155" t="s">
        <v>261</v>
      </c>
      <c r="B155" t="str">
        <f>VLOOKUP(A155,Articles!A:B,2,FALSE)</f>
        <v>MINILOVE GREN SIMPLE</v>
      </c>
      <c r="C155">
        <f>VLOOKUP(A155,Articles!A:D,4,FALSE)</f>
        <v>10</v>
      </c>
      <c r="D155" s="3">
        <f>SUMIFS(Ventes!C:C,Ventes!B:B,A155)</f>
        <v>1</v>
      </c>
      <c r="E155">
        <f t="shared" si="2"/>
        <v>9</v>
      </c>
      <c r="F155" s="3">
        <f>SUMIFS(Ventes!D:D,Ventes!B:B,A155)</f>
        <v>3000</v>
      </c>
      <c r="G155">
        <f>SUMIFS(Ventes!G:G,Ventes!B:B,A155)</f>
        <v>1250</v>
      </c>
    </row>
    <row r="156" spans="1:7" x14ac:dyDescent="0.2">
      <c r="A156" t="s">
        <v>262</v>
      </c>
      <c r="B156" t="str">
        <f>VLOOKUP(A156,Articles!A:B,2,FALSE)</f>
        <v>MINILOVE PANTALON</v>
      </c>
      <c r="C156">
        <f>VLOOKUP(A156,Articles!A:D,4,FALSE)</f>
        <v>24</v>
      </c>
      <c r="D156" s="3">
        <f>SUMIFS(Ventes!C:C,Ventes!B:B,A156)</f>
        <v>7</v>
      </c>
      <c r="E156">
        <f t="shared" si="2"/>
        <v>17</v>
      </c>
      <c r="F156" s="3">
        <f>SUMIFS(Ventes!D:D,Ventes!B:B,A156)</f>
        <v>7000</v>
      </c>
      <c r="G156">
        <f>SUMIFS(Ventes!G:G,Ventes!B:B,A156)</f>
        <v>6620</v>
      </c>
    </row>
    <row r="157" spans="1:7" x14ac:dyDescent="0.2">
      <c r="A157" t="s">
        <v>278</v>
      </c>
      <c r="B157" t="str">
        <f>VLOOKUP(A157,Articles!A:B,2,FALSE)</f>
        <v>MURAT ENS 02P HAUT VERT GARCON</v>
      </c>
      <c r="C157">
        <f>VLOOKUP(A157,Articles!A:D,4,FALSE)</f>
        <v>4</v>
      </c>
      <c r="D157" s="3">
        <f>SUMIFS(Ventes!C:C,Ventes!B:B,A157)</f>
        <v>2</v>
      </c>
      <c r="E157">
        <f t="shared" si="2"/>
        <v>2</v>
      </c>
      <c r="F157" s="3">
        <f>SUMIFS(Ventes!D:D,Ventes!B:B,A157)</f>
        <v>11000</v>
      </c>
      <c r="G157">
        <f>SUMIFS(Ventes!G:G,Ventes!B:B,A157)</f>
        <v>5890</v>
      </c>
    </row>
    <row r="158" spans="1:7" x14ac:dyDescent="0.2">
      <c r="A158" t="s">
        <v>310</v>
      </c>
      <c r="B158" t="str">
        <f>VLOOKUP(A158,Articles!A:B,2,FALSE)</f>
        <v>NEHAD ENS 02P CULOTTE CARRELE</v>
      </c>
      <c r="C158">
        <f>VLOOKUP(A158,Articles!A:D,4,FALSE)</f>
        <v>3</v>
      </c>
      <c r="D158" s="3">
        <f>SUMIFS(Ventes!C:C,Ventes!B:B,A158)</f>
        <v>3</v>
      </c>
      <c r="E158">
        <f t="shared" si="2"/>
        <v>0</v>
      </c>
      <c r="F158" s="3">
        <f>SUMIFS(Ventes!D:D,Ventes!B:B,A158)</f>
        <v>19500</v>
      </c>
      <c r="G158">
        <f>SUMIFS(Ventes!G:G,Ventes!B:B,A158)</f>
        <v>9630</v>
      </c>
    </row>
    <row r="159" spans="1:7" x14ac:dyDescent="0.2">
      <c r="A159" t="s">
        <v>255</v>
      </c>
      <c r="B159" t="str">
        <f>VLOOKUP(A159,Articles!A:B,2,FALSE)</f>
        <v>MINEPETY GREN</v>
      </c>
      <c r="C159">
        <f>VLOOKUP(A159,Articles!A:D,4,FALSE)</f>
        <v>2</v>
      </c>
      <c r="D159" s="3">
        <f>SUMIFS(Ventes!C:C,Ventes!B:B,A159)</f>
        <v>1</v>
      </c>
      <c r="E159">
        <f t="shared" si="2"/>
        <v>1</v>
      </c>
      <c r="F159" s="3">
        <f>SUMIFS(Ventes!D:D,Ventes!B:B,A159)</f>
        <v>4000</v>
      </c>
      <c r="G159">
        <f>SUMIFS(Ventes!G:G,Ventes!B:B,A159)</f>
        <v>2138</v>
      </c>
    </row>
    <row r="160" spans="1:7" x14ac:dyDescent="0.2">
      <c r="A160" t="s">
        <v>5</v>
      </c>
      <c r="B160" t="str">
        <f>VLOOKUP(A160,Articles!A:B,2,FALSE)</f>
        <v>BABY BELLO GREN CHAPEAU/MOUFLE</v>
      </c>
      <c r="C160">
        <f>VLOOKUP(A160,Articles!A:D,4,FALSE)</f>
        <v>10</v>
      </c>
      <c r="D160" s="3">
        <f>SUMIFS(Ventes!C:C,Ventes!B:B,A160)</f>
        <v>1</v>
      </c>
      <c r="E160">
        <f t="shared" si="2"/>
        <v>9</v>
      </c>
      <c r="F160" s="3">
        <f>SUMIFS(Ventes!D:D,Ventes!B:B,A160)</f>
        <v>5500</v>
      </c>
      <c r="G160">
        <f>SUMIFS(Ventes!G:G,Ventes!B:B,A160)</f>
        <v>2500</v>
      </c>
    </row>
    <row r="161" spans="1:7" x14ac:dyDescent="0.2">
      <c r="A161" t="s">
        <v>173</v>
      </c>
      <c r="B161" t="str">
        <f>VLOOKUP(A161,Articles!A:B,2,FALSE)</f>
        <v>BABY F CHAPEAUX 02 PONPONS</v>
      </c>
      <c r="C161">
        <f>VLOOKUP(A161,Articles!A:D,4,FALSE)</f>
        <v>18</v>
      </c>
      <c r="D161" s="3">
        <f>SUMIFS(Ventes!C:C,Ventes!B:B,A161)</f>
        <v>8</v>
      </c>
      <c r="E161">
        <f t="shared" si="2"/>
        <v>10</v>
      </c>
      <c r="F161" s="3">
        <f>SUMIFS(Ventes!D:D,Ventes!B:B,A161)</f>
        <v>5633</v>
      </c>
      <c r="G161">
        <f>SUMIFS(Ventes!G:G,Ventes!B:B,A161)</f>
        <v>6099</v>
      </c>
    </row>
    <row r="162" spans="1:7" x14ac:dyDescent="0.2">
      <c r="A162" t="s">
        <v>242</v>
      </c>
      <c r="B162" t="str">
        <f>VLOOKUP(A162,Articles!A:B,2,FALSE)</f>
        <v>MC BAVOIRS PACK 3/CHAUSSETTES</v>
      </c>
      <c r="C162">
        <f>VLOOKUP(A162,Articles!A:D,4,FALSE)</f>
        <v>2</v>
      </c>
      <c r="D162" s="3">
        <f>SUMIFS(Ventes!C:C,Ventes!B:B,A162)</f>
        <v>2</v>
      </c>
      <c r="E162">
        <f t="shared" si="2"/>
        <v>0</v>
      </c>
      <c r="F162" s="3">
        <f>SUMIFS(Ventes!D:D,Ventes!B:B,A162)</f>
        <v>12000</v>
      </c>
      <c r="G162">
        <f>SUMIFS(Ventes!G:G,Ventes!B:B,A162)</f>
        <v>5000</v>
      </c>
    </row>
    <row r="163" spans="1:7" x14ac:dyDescent="0.2">
      <c r="A163" t="s">
        <v>194</v>
      </c>
      <c r="B163" t="str">
        <f>VLOOKUP(A163,Articles!A:B,2,FALSE)</f>
        <v>CHAPEAU SIMPLE NOURNOURS</v>
      </c>
      <c r="C163">
        <f>VLOOKUP(A163,Articles!A:D,4,FALSE)</f>
        <v>24</v>
      </c>
      <c r="D163" s="3">
        <f>SUMIFS(Ventes!C:C,Ventes!B:B,A163)</f>
        <v>5</v>
      </c>
      <c r="E163">
        <f t="shared" si="2"/>
        <v>19</v>
      </c>
      <c r="F163" s="3">
        <f>SUMIFS(Ventes!D:D,Ventes!B:B,A163)</f>
        <v>2100</v>
      </c>
      <c r="G163">
        <f>SUMIFS(Ventes!G:G,Ventes!B:B,A163)</f>
        <v>2207.5</v>
      </c>
    </row>
    <row r="164" spans="1:7" s="2" customFormat="1" x14ac:dyDescent="0.2">
      <c r="A164" s="2" t="s">
        <v>274</v>
      </c>
      <c r="B164" s="2" t="str">
        <f>VLOOKUP(A164,Articles!A:B,2,FALSE)</f>
        <v>MURAT BARBO JUPE SALOPETTE CŒUR</v>
      </c>
      <c r="C164" s="2">
        <f>VLOOKUP(A164,Articles!A:D,4,FALSE)</f>
        <v>4</v>
      </c>
      <c r="D164" s="2">
        <f>SUMIFS(Ventes!C:C,Ventes!B:B,A164)</f>
        <v>4</v>
      </c>
      <c r="E164" s="2">
        <f t="shared" si="2"/>
        <v>0</v>
      </c>
      <c r="F164" s="2">
        <f>SUMIFS(Ventes!D:D,Ventes!B:B,A164)</f>
        <v>23000</v>
      </c>
      <c r="G164" s="2">
        <f>SUMIFS(Ventes!G:G,Ventes!B:B,A164)</f>
        <v>10820</v>
      </c>
    </row>
    <row r="165" spans="1:7" x14ac:dyDescent="0.2">
      <c r="A165" t="s">
        <v>190</v>
      </c>
      <c r="B165" t="str">
        <f>VLOOKUP(A165,Articles!A:B,2,FALSE)</f>
        <v>BELLA CHAUSSETTE COLLANT NŒUD</v>
      </c>
      <c r="C165">
        <f>VLOOKUP(A165,Articles!A:D,4,FALSE)</f>
        <v>71</v>
      </c>
      <c r="D165" s="3">
        <f>SUMIFS(Ventes!C:C,Ventes!B:B,A165)</f>
        <v>29</v>
      </c>
      <c r="E165">
        <f t="shared" si="2"/>
        <v>42</v>
      </c>
      <c r="F165" s="3">
        <f>SUMIFS(Ventes!D:D,Ventes!B:B,A165)</f>
        <v>19000</v>
      </c>
      <c r="G165">
        <f>SUMIFS(Ventes!G:G,Ventes!B:B,A165)</f>
        <v>34396.5</v>
      </c>
    </row>
    <row r="166" spans="1:7" x14ac:dyDescent="0.2">
      <c r="A166" t="s">
        <v>189</v>
      </c>
      <c r="B166" t="str">
        <f>VLOOKUP(A166,Articles!A:B,2,FALSE)</f>
        <v>BELLA CHAUSSETTE BALLERINE</v>
      </c>
      <c r="C166">
        <f>VLOOKUP(A166,Articles!A:D,4,FALSE)</f>
        <v>60</v>
      </c>
      <c r="D166" s="3">
        <f>SUMIFS(Ventes!C:C,Ventes!B:B,A166)</f>
        <v>53</v>
      </c>
      <c r="E166">
        <f t="shared" si="2"/>
        <v>7</v>
      </c>
      <c r="F166" s="3">
        <f>SUMIFS(Ventes!D:D,Ventes!B:B,A166)</f>
        <v>12000</v>
      </c>
      <c r="G166">
        <f>SUMIFS(Ventes!G:G,Ventes!B:B,A166)</f>
        <v>28973.510000000002</v>
      </c>
    </row>
    <row r="167" spans="1:7" x14ac:dyDescent="0.2">
      <c r="A167" t="s">
        <v>194</v>
      </c>
      <c r="B167" t="str">
        <f>VLOOKUP(A167,Articles!A:B,2,FALSE)</f>
        <v>CHAPEAU SIMPLE NOURNOURS</v>
      </c>
      <c r="C167">
        <f>VLOOKUP(A167,Articles!A:D,4,FALSE)</f>
        <v>24</v>
      </c>
      <c r="D167" s="3">
        <f>SUMIFS(Ventes!C:C,Ventes!B:B,A167)</f>
        <v>5</v>
      </c>
      <c r="E167">
        <f t="shared" si="2"/>
        <v>19</v>
      </c>
      <c r="F167" s="3">
        <f>SUMIFS(Ventes!D:D,Ventes!B:B,A167)</f>
        <v>2100</v>
      </c>
      <c r="G167">
        <f>SUMIFS(Ventes!G:G,Ventes!B:B,A167)</f>
        <v>2207.5</v>
      </c>
    </row>
    <row r="168" spans="1:7" x14ac:dyDescent="0.2">
      <c r="A168" t="s">
        <v>259</v>
      </c>
      <c r="B168" t="str">
        <f>VLOOKUP(A168,Articles!A:B,2,FALSE)</f>
        <v>MINILOVE ENS 02P NAISS BLANC</v>
      </c>
      <c r="C168">
        <f>VLOOKUP(A168,Articles!A:D,4,FALSE)</f>
        <v>6</v>
      </c>
      <c r="D168" s="3">
        <f>SUMIFS(Ventes!C:C,Ventes!B:B,A168)</f>
        <v>3</v>
      </c>
      <c r="E168">
        <f t="shared" si="2"/>
        <v>3</v>
      </c>
      <c r="F168" s="3">
        <f>SUMIFS(Ventes!D:D,Ventes!B:B,A168)</f>
        <v>15500</v>
      </c>
      <c r="G168">
        <f>SUMIFS(Ventes!G:G,Ventes!B:B,A168)</f>
        <v>8696</v>
      </c>
    </row>
    <row r="169" spans="1:7" x14ac:dyDescent="0.2">
      <c r="A169" t="s">
        <v>280</v>
      </c>
      <c r="B169" t="str">
        <f>VLOOKUP(A169,Articles!A:B,2,FALSE)</f>
        <v>MURAT ENS 02P NAISS CŒUR</v>
      </c>
      <c r="C169">
        <f>VLOOKUP(A169,Articles!A:D,4,FALSE)</f>
        <v>4</v>
      </c>
      <c r="D169" s="3">
        <f>SUMIFS(Ventes!C:C,Ventes!B:B,A169)</f>
        <v>4</v>
      </c>
      <c r="E169">
        <f t="shared" si="2"/>
        <v>0</v>
      </c>
      <c r="F169" s="3">
        <f>SUMIFS(Ventes!D:D,Ventes!B:B,A169)</f>
        <v>23500</v>
      </c>
      <c r="G169">
        <f>SUMIFS(Ventes!G:G,Ventes!B:B,A169)</f>
        <v>12440</v>
      </c>
    </row>
    <row r="170" spans="1:7" x14ac:dyDescent="0.2">
      <c r="A170" t="s">
        <v>308</v>
      </c>
      <c r="B170" t="str">
        <f>VLOOKUP(A170,Articles!A:B,2,FALSE)</f>
        <v>NAY GREN SIMPLES</v>
      </c>
      <c r="C170">
        <f>VLOOKUP(A170,Articles!A:D,4,FALSE)</f>
        <v>78</v>
      </c>
      <c r="D170" s="3">
        <f>SUMIFS(Ventes!C:C,Ventes!B:B,A170)</f>
        <v>28</v>
      </c>
      <c r="E170">
        <f t="shared" si="2"/>
        <v>50</v>
      </c>
      <c r="F170" s="3">
        <f>SUMIFS(Ventes!D:D,Ventes!B:B,A170)</f>
        <v>28400</v>
      </c>
      <c r="G170">
        <f>SUMIFS(Ventes!G:G,Ventes!B:B,A170)</f>
        <v>44604</v>
      </c>
    </row>
    <row r="171" spans="1:7" x14ac:dyDescent="0.2">
      <c r="A171" t="s">
        <v>186</v>
      </c>
      <c r="B171" t="str">
        <f>VLOOKUP(A171,Articles!A:B,2,FALSE)</f>
        <v>BELLA BANDEAUX</v>
      </c>
      <c r="C171">
        <f>VLOOKUP(A171,Articles!A:D,4,FALSE)</f>
        <v>85</v>
      </c>
      <c r="D171" s="3">
        <f>SUMIFS(Ventes!C:C,Ventes!B:B,A171)</f>
        <v>60</v>
      </c>
      <c r="E171">
        <f t="shared" si="2"/>
        <v>25</v>
      </c>
      <c r="F171" s="3">
        <f>SUMIFS(Ventes!D:D,Ventes!B:B,A171)</f>
        <v>20500</v>
      </c>
      <c r="G171">
        <f>SUMIFS(Ventes!G:G,Ventes!B:B,A171)</f>
        <v>43000</v>
      </c>
    </row>
    <row r="172" spans="1:7" x14ac:dyDescent="0.2">
      <c r="A172" t="s">
        <v>174</v>
      </c>
      <c r="B172" t="str">
        <f>VLOOKUP(A172,Articles!A:B,2,FALSE)</f>
        <v>BABYBUU ROBE</v>
      </c>
      <c r="C172">
        <f>VLOOKUP(A172,Articles!A:D,4,FALSE)</f>
        <v>12</v>
      </c>
      <c r="D172" s="3">
        <f>SUMIFS(Ventes!C:C,Ventes!B:B,A172)</f>
        <v>11</v>
      </c>
      <c r="E172">
        <f t="shared" si="2"/>
        <v>1</v>
      </c>
      <c r="F172" s="3">
        <f>SUMIFS(Ventes!D:D,Ventes!B:B,A172)</f>
        <v>47000</v>
      </c>
      <c r="G172">
        <f>SUMIFS(Ventes!G:G,Ventes!B:B,A172)</f>
        <v>33892</v>
      </c>
    </row>
    <row r="173" spans="1:7" x14ac:dyDescent="0.2">
      <c r="A173" t="s">
        <v>308</v>
      </c>
      <c r="B173" t="str">
        <f>VLOOKUP(A173,Articles!A:B,2,FALSE)</f>
        <v>NAY GREN SIMPLES</v>
      </c>
      <c r="C173">
        <f>VLOOKUP(A173,Articles!A:D,4,FALSE)</f>
        <v>78</v>
      </c>
      <c r="D173" s="3">
        <f>SUMIFS(Ventes!C:C,Ventes!B:B,A173)</f>
        <v>28</v>
      </c>
      <c r="E173">
        <f t="shared" si="2"/>
        <v>50</v>
      </c>
      <c r="F173" s="3">
        <f>SUMIFS(Ventes!D:D,Ventes!B:B,A173)</f>
        <v>28400</v>
      </c>
      <c r="G173">
        <f>SUMIFS(Ventes!G:G,Ventes!B:B,A173)</f>
        <v>44604</v>
      </c>
    </row>
    <row r="174" spans="1:7" x14ac:dyDescent="0.2">
      <c r="A174" t="s">
        <v>188</v>
      </c>
      <c r="B174" t="str">
        <f>VLOOKUP(A174,Articles!A:B,2,FALSE)</f>
        <v>BELLA CHAPEAUX BANDEAUX</v>
      </c>
      <c r="C174">
        <f>VLOOKUP(A174,Articles!A:D,4,FALSE)</f>
        <v>1</v>
      </c>
      <c r="D174" s="3">
        <f>SUMIFS(Ventes!C:C,Ventes!B:B,A174)</f>
        <v>1</v>
      </c>
      <c r="E174">
        <f t="shared" si="2"/>
        <v>0</v>
      </c>
      <c r="F174" s="3">
        <f>SUMIFS(Ventes!D:D,Ventes!B:B,A174)</f>
        <v>2000</v>
      </c>
      <c r="G174">
        <f>SUMIFS(Ventes!G:G,Ventes!B:B,A174)</f>
        <v>1000</v>
      </c>
    </row>
    <row r="175" spans="1:7" x14ac:dyDescent="0.2">
      <c r="A175" t="s">
        <v>293</v>
      </c>
      <c r="B175" t="str">
        <f>VLOOKUP(A175,Articles!A:B,2,FALSE)</f>
        <v>MURAT SALOPETTE FILLE ORANGE</v>
      </c>
      <c r="C175">
        <f>VLOOKUP(A175,Articles!A:D,4,FALSE)</f>
        <v>4</v>
      </c>
      <c r="D175" s="3">
        <f>SUMIFS(Ventes!C:C,Ventes!B:B,A175)</f>
        <v>3</v>
      </c>
      <c r="E175">
        <f t="shared" si="2"/>
        <v>1</v>
      </c>
      <c r="F175" s="3">
        <f>SUMIFS(Ventes!D:D,Ventes!B:B,A175)</f>
        <v>14500</v>
      </c>
      <c r="G175">
        <f>SUMIFS(Ventes!G:G,Ventes!B:B,A175)</f>
        <v>7675</v>
      </c>
    </row>
    <row r="176" spans="1:7" x14ac:dyDescent="0.2">
      <c r="A176" t="s">
        <v>186</v>
      </c>
      <c r="B176" t="str">
        <f>VLOOKUP(A176,Articles!A:B,2,FALSE)</f>
        <v>BELLA BANDEAUX</v>
      </c>
      <c r="C176">
        <f>VLOOKUP(A176,Articles!A:D,4,FALSE)</f>
        <v>85</v>
      </c>
      <c r="D176" s="3">
        <f>SUMIFS(Ventes!C:C,Ventes!B:B,A176)</f>
        <v>60</v>
      </c>
      <c r="E176">
        <f t="shared" si="2"/>
        <v>25</v>
      </c>
      <c r="F176" s="3">
        <f>SUMIFS(Ventes!D:D,Ventes!B:B,A176)</f>
        <v>20500</v>
      </c>
      <c r="G176">
        <f>SUMIFS(Ventes!G:G,Ventes!B:B,A176)</f>
        <v>43000</v>
      </c>
    </row>
    <row r="177" spans="1:7" x14ac:dyDescent="0.2">
      <c r="A177" t="s">
        <v>174</v>
      </c>
      <c r="B177" t="str">
        <f>VLOOKUP(A177,Articles!A:B,2,FALSE)</f>
        <v>BABYBUU ROBE</v>
      </c>
      <c r="C177">
        <f>VLOOKUP(A177,Articles!A:D,4,FALSE)</f>
        <v>12</v>
      </c>
      <c r="D177" s="3">
        <f>SUMIFS(Ventes!C:C,Ventes!B:B,A177)</f>
        <v>11</v>
      </c>
      <c r="E177">
        <f t="shared" si="2"/>
        <v>1</v>
      </c>
      <c r="F177" s="3">
        <f>SUMIFS(Ventes!D:D,Ventes!B:B,A177)</f>
        <v>47000</v>
      </c>
      <c r="G177">
        <f>SUMIFS(Ventes!G:G,Ventes!B:B,A177)</f>
        <v>33892</v>
      </c>
    </row>
    <row r="178" spans="1:7" x14ac:dyDescent="0.2">
      <c r="A178" t="s">
        <v>277</v>
      </c>
      <c r="B178" t="str">
        <f>VLOOKUP(A178,Articles!A:B,2,FALSE)</f>
        <v>MURAT ENS 02P GARCON PAN  HAUT ORANGE</v>
      </c>
      <c r="C178">
        <f>VLOOKUP(A178,Articles!A:D,4,FALSE)</f>
        <v>4</v>
      </c>
      <c r="D178" s="3">
        <f>SUMIFS(Ventes!C:C,Ventes!B:B,A178)</f>
        <v>3</v>
      </c>
      <c r="E178">
        <f t="shared" si="2"/>
        <v>1</v>
      </c>
      <c r="F178" s="3">
        <f>SUMIFS(Ventes!D:D,Ventes!B:B,A178)</f>
        <v>17500</v>
      </c>
      <c r="G178">
        <f>SUMIFS(Ventes!G:G,Ventes!B:B,A178)</f>
        <v>9205</v>
      </c>
    </row>
    <row r="179" spans="1:7" x14ac:dyDescent="0.2">
      <c r="A179" t="s">
        <v>280</v>
      </c>
      <c r="B179" t="str">
        <f>VLOOKUP(A179,Articles!A:B,2,FALSE)</f>
        <v>MURAT ENS 02P NAISS CŒUR</v>
      </c>
      <c r="C179">
        <f>VLOOKUP(A179,Articles!A:D,4,FALSE)</f>
        <v>4</v>
      </c>
      <c r="D179" s="3">
        <f>SUMIFS(Ventes!C:C,Ventes!B:B,A179)</f>
        <v>4</v>
      </c>
      <c r="E179">
        <f t="shared" si="2"/>
        <v>0</v>
      </c>
      <c r="F179" s="3">
        <f>SUMIFS(Ventes!D:D,Ventes!B:B,A179)</f>
        <v>23500</v>
      </c>
      <c r="G179">
        <f>SUMIFS(Ventes!G:G,Ventes!B:B,A179)</f>
        <v>12440</v>
      </c>
    </row>
    <row r="180" spans="1:7" x14ac:dyDescent="0.2">
      <c r="A180" t="s">
        <v>190</v>
      </c>
      <c r="B180" t="str">
        <f>VLOOKUP(A180,Articles!A:B,2,FALSE)</f>
        <v>BELLA CHAUSSETTE COLLANT NŒUD</v>
      </c>
      <c r="C180">
        <f>VLOOKUP(A180,Articles!A:D,4,FALSE)</f>
        <v>71</v>
      </c>
      <c r="D180" s="3">
        <f>SUMIFS(Ventes!C:C,Ventes!B:B,A180)</f>
        <v>29</v>
      </c>
      <c r="E180">
        <f t="shared" si="2"/>
        <v>42</v>
      </c>
      <c r="F180" s="3">
        <f>SUMIFS(Ventes!D:D,Ventes!B:B,A180)</f>
        <v>19000</v>
      </c>
      <c r="G180">
        <f>SUMIFS(Ventes!G:G,Ventes!B:B,A180)</f>
        <v>34396.5</v>
      </c>
    </row>
    <row r="181" spans="1:7" x14ac:dyDescent="0.2">
      <c r="A181" t="s">
        <v>186</v>
      </c>
      <c r="B181" t="str">
        <f>VLOOKUP(A181,Articles!A:B,2,FALSE)</f>
        <v>BELLA BANDEAUX</v>
      </c>
      <c r="C181">
        <f>VLOOKUP(A181,Articles!A:D,4,FALSE)</f>
        <v>85</v>
      </c>
      <c r="D181" s="3">
        <f>SUMIFS(Ventes!C:C,Ventes!B:B,A181)</f>
        <v>60</v>
      </c>
      <c r="E181">
        <f t="shared" si="2"/>
        <v>25</v>
      </c>
      <c r="F181" s="3">
        <f>SUMIFS(Ventes!D:D,Ventes!B:B,A181)</f>
        <v>20500</v>
      </c>
      <c r="G181">
        <f>SUMIFS(Ventes!G:G,Ventes!B:B,A181)</f>
        <v>43000</v>
      </c>
    </row>
    <row r="182" spans="1:7" x14ac:dyDescent="0.2">
      <c r="A182" t="s">
        <v>197</v>
      </c>
      <c r="B182" t="str">
        <f>VLOOKUP(A182,Articles!A:B,2,FALSE)</f>
        <v>CHAUSSETTE BOX 5</v>
      </c>
      <c r="C182">
        <f>VLOOKUP(A182,Articles!A:D,4,FALSE)</f>
        <v>3</v>
      </c>
      <c r="D182" s="3">
        <f>SUMIFS(Ventes!C:C,Ventes!B:B,A182)</f>
        <v>2</v>
      </c>
      <c r="E182">
        <f t="shared" si="2"/>
        <v>1</v>
      </c>
      <c r="F182" s="3">
        <f>SUMIFS(Ventes!D:D,Ventes!B:B,A182)</f>
        <v>7500</v>
      </c>
      <c r="G182">
        <f>SUMIFS(Ventes!G:G,Ventes!B:B,A182)</f>
        <v>4000</v>
      </c>
    </row>
    <row r="183" spans="1:7" x14ac:dyDescent="0.2">
      <c r="A183" t="s">
        <v>182</v>
      </c>
      <c r="B183" t="str">
        <f>VLOOKUP(A183,Articles!A:B,2,FALSE)</f>
        <v xml:space="preserve">BB CHERI CANARIO 02P </v>
      </c>
      <c r="C183">
        <f>VLOOKUP(A183,Articles!A:D,4,FALSE)</f>
        <v>4</v>
      </c>
      <c r="D183" s="3">
        <f>SUMIFS(Ventes!C:C,Ventes!B:B,A183)</f>
        <v>3</v>
      </c>
      <c r="E183">
        <f t="shared" si="2"/>
        <v>1</v>
      </c>
      <c r="F183" s="3">
        <f>SUMIFS(Ventes!D:D,Ventes!B:B,A183)</f>
        <v>26000</v>
      </c>
      <c r="G183">
        <f>SUMIFS(Ventes!G:G,Ventes!B:B,A183)</f>
        <v>13610</v>
      </c>
    </row>
    <row r="184" spans="1:7" x14ac:dyDescent="0.2">
      <c r="A184" t="s">
        <v>348</v>
      </c>
      <c r="B184" t="str">
        <f>VLOOKUP(A184,Articles!A:B,2,FALSE)</f>
        <v>SERVIETTES PM</v>
      </c>
      <c r="C184">
        <f>VLOOKUP(A184,Articles!A:D,4,FALSE)</f>
        <v>8</v>
      </c>
      <c r="D184" s="3">
        <f>SUMIFS(Ventes!C:C,Ventes!B:B,A184)</f>
        <v>3</v>
      </c>
      <c r="E184">
        <f t="shared" si="2"/>
        <v>5</v>
      </c>
      <c r="F184" s="3">
        <f>SUMIFS(Ventes!D:D,Ventes!B:B,A184)</f>
        <v>6500</v>
      </c>
      <c r="G184">
        <f>SUMIFS(Ventes!G:G,Ventes!B:B,A184)</f>
        <v>3400</v>
      </c>
    </row>
    <row r="185" spans="1:7" x14ac:dyDescent="0.2">
      <c r="A185" t="s">
        <v>227</v>
      </c>
      <c r="B185" t="str">
        <f>VLOOKUP(A185,Articles!A:B,2,FALSE)</f>
        <v>KIDEX ROBE CHAPEAU PAILLE</v>
      </c>
      <c r="C185">
        <f>VLOOKUP(A185,Articles!A:D,4,FALSE)</f>
        <v>16</v>
      </c>
      <c r="D185" s="3">
        <f>SUMIFS(Ventes!C:C,Ventes!B:B,A185)</f>
        <v>15</v>
      </c>
      <c r="E185">
        <f t="shared" si="2"/>
        <v>1</v>
      </c>
      <c r="F185" s="3">
        <f>SUMIFS(Ventes!D:D,Ventes!B:B,A185)</f>
        <v>73500</v>
      </c>
      <c r="G185">
        <f>SUMIFS(Ventes!G:G,Ventes!B:B,A185)</f>
        <v>45040</v>
      </c>
    </row>
    <row r="186" spans="1:7" x14ac:dyDescent="0.2">
      <c r="A186" t="s">
        <v>198</v>
      </c>
      <c r="B186" t="str">
        <f>VLOOKUP(A186,Articles!A:B,2,FALSE)</f>
        <v>COSAY ENS 02P BABY 2025</v>
      </c>
      <c r="C186">
        <f>VLOOKUP(A186,Articles!A:D,4,FALSE)</f>
        <v>4</v>
      </c>
      <c r="D186" s="3">
        <f>SUMIFS(Ventes!C:C,Ventes!B:B,A186)</f>
        <v>2</v>
      </c>
      <c r="E186">
        <f t="shared" si="2"/>
        <v>2</v>
      </c>
      <c r="F186" s="3">
        <f>SUMIFS(Ventes!D:D,Ventes!B:B,A186)</f>
        <v>13000</v>
      </c>
      <c r="G186">
        <f>SUMIFS(Ventes!G:G,Ventes!B:B,A186)</f>
        <v>8506</v>
      </c>
    </row>
    <row r="187" spans="1:7" x14ac:dyDescent="0.2">
      <c r="A187" t="s">
        <v>267</v>
      </c>
      <c r="B187" t="str">
        <f>VLOOKUP(A187,Articles!A:B,2,FALSE)</f>
        <v>MINIZEO ROBE SALOPETTE</v>
      </c>
      <c r="C187">
        <f>VLOOKUP(A187,Articles!A:D,4,FALSE)</f>
        <v>4</v>
      </c>
      <c r="D187" s="3">
        <f>SUMIFS(Ventes!C:C,Ventes!B:B,A187)</f>
        <v>4</v>
      </c>
      <c r="E187">
        <f t="shared" si="2"/>
        <v>0</v>
      </c>
      <c r="F187" s="3">
        <f>SUMIFS(Ventes!D:D,Ventes!B:B,A187)</f>
        <v>27000</v>
      </c>
      <c r="G187">
        <f>SUMIFS(Ventes!G:G,Ventes!B:B,A187)</f>
        <v>17968</v>
      </c>
    </row>
    <row r="188" spans="1:7" x14ac:dyDescent="0.2">
      <c r="A188" t="s">
        <v>227</v>
      </c>
      <c r="B188" t="str">
        <f>VLOOKUP(A188,Articles!A:B,2,FALSE)</f>
        <v>KIDEX ROBE CHAPEAU PAILLE</v>
      </c>
      <c r="C188">
        <f>VLOOKUP(A188,Articles!A:D,4,FALSE)</f>
        <v>16</v>
      </c>
      <c r="D188" s="3">
        <f>SUMIFS(Ventes!C:C,Ventes!B:B,A188)</f>
        <v>15</v>
      </c>
      <c r="E188">
        <f t="shared" si="2"/>
        <v>1</v>
      </c>
      <c r="F188" s="3">
        <f>SUMIFS(Ventes!D:D,Ventes!B:B,A188)</f>
        <v>73500</v>
      </c>
      <c r="G188">
        <f>SUMIFS(Ventes!G:G,Ventes!B:B,A188)</f>
        <v>45040</v>
      </c>
    </row>
    <row r="189" spans="1:7" x14ac:dyDescent="0.2">
      <c r="A189" t="s">
        <v>290</v>
      </c>
      <c r="B189" t="str">
        <f>VLOOKUP(A189,Articles!A:B,2,FALSE)</f>
        <v>MURAT ROBE JEAN DENTELLE HAUT</v>
      </c>
      <c r="C189">
        <f>VLOOKUP(A189,Articles!A:D,4,FALSE)</f>
        <v>4</v>
      </c>
      <c r="D189" s="3">
        <f>SUMIFS(Ventes!C:C,Ventes!B:B,A189)</f>
        <v>2</v>
      </c>
      <c r="E189">
        <f t="shared" si="2"/>
        <v>2</v>
      </c>
      <c r="F189" s="3">
        <f>SUMIFS(Ventes!D:D,Ventes!B:B,A189)</f>
        <v>12000</v>
      </c>
      <c r="G189">
        <f>SUMIFS(Ventes!G:G,Ventes!B:B,A189)</f>
        <v>6470</v>
      </c>
    </row>
    <row r="190" spans="1:7" x14ac:dyDescent="0.2">
      <c r="A190" t="s">
        <v>308</v>
      </c>
      <c r="B190" t="str">
        <f>VLOOKUP(A190,Articles!A:B,2,FALSE)</f>
        <v>NAY GREN SIMPLES</v>
      </c>
      <c r="C190">
        <f>VLOOKUP(A190,Articles!A:D,4,FALSE)</f>
        <v>78</v>
      </c>
      <c r="D190" s="3">
        <f>SUMIFS(Ventes!C:C,Ventes!B:B,A190)</f>
        <v>28</v>
      </c>
      <c r="E190">
        <f t="shared" si="2"/>
        <v>50</v>
      </c>
      <c r="F190" s="3">
        <f>SUMIFS(Ventes!D:D,Ventes!B:B,A190)</f>
        <v>28400</v>
      </c>
      <c r="G190">
        <f>SUMIFS(Ventes!G:G,Ventes!B:B,A190)</f>
        <v>44604</v>
      </c>
    </row>
    <row r="191" spans="1:7" x14ac:dyDescent="0.2">
      <c r="A191" t="s">
        <v>285</v>
      </c>
      <c r="B191" t="str">
        <f>VLOOKUP(A191,Articles!A:B,2,FALSE)</f>
        <v>MURAT MINI COMBI CŒUR</v>
      </c>
      <c r="C191">
        <f>VLOOKUP(A191,Articles!A:D,4,FALSE)</f>
        <v>4</v>
      </c>
      <c r="D191" s="3">
        <f>SUMIFS(Ventes!C:C,Ventes!B:B,A191)</f>
        <v>4</v>
      </c>
      <c r="E191">
        <f t="shared" si="2"/>
        <v>0</v>
      </c>
      <c r="F191" s="3">
        <f>SUMIFS(Ventes!D:D,Ventes!B:B,A191)</f>
        <v>15500</v>
      </c>
      <c r="G191">
        <f>SUMIFS(Ventes!G:G,Ventes!B:B,A191)</f>
        <v>10220</v>
      </c>
    </row>
    <row r="192" spans="1:7" x14ac:dyDescent="0.2">
      <c r="A192" t="s">
        <v>242</v>
      </c>
      <c r="B192" t="str">
        <f>VLOOKUP(A192,Articles!A:B,2,FALSE)</f>
        <v>MC BAVOIRS PACK 3/CHAUSSETTES</v>
      </c>
      <c r="C192">
        <f>VLOOKUP(A192,Articles!A:D,4,FALSE)</f>
        <v>2</v>
      </c>
      <c r="D192" s="3">
        <f>SUMIFS(Ventes!C:C,Ventes!B:B,A192)</f>
        <v>2</v>
      </c>
      <c r="E192">
        <f t="shared" si="2"/>
        <v>0</v>
      </c>
      <c r="F192" s="3">
        <f>SUMIFS(Ventes!D:D,Ventes!B:B,A192)</f>
        <v>12000</v>
      </c>
      <c r="G192">
        <f>SUMIFS(Ventes!G:G,Ventes!B:B,A192)</f>
        <v>5000</v>
      </c>
    </row>
    <row r="193" spans="1:7" x14ac:dyDescent="0.2">
      <c r="A193" t="s">
        <v>273</v>
      </c>
      <c r="B193" t="str">
        <f>VLOOKUP(A193,Articles!A:B,2,FALSE)</f>
        <v>MURAT BARBO CALECON PANTHERE</v>
      </c>
      <c r="C193">
        <f>VLOOKUP(A193,Articles!A:D,4,FALSE)</f>
        <v>4</v>
      </c>
      <c r="D193" s="3">
        <f>SUMIFS(Ventes!C:C,Ventes!B:B,A193)</f>
        <v>2</v>
      </c>
      <c r="E193">
        <f t="shared" si="2"/>
        <v>2</v>
      </c>
      <c r="F193" s="3">
        <f>SUMIFS(Ventes!D:D,Ventes!B:B,A193)</f>
        <v>6000</v>
      </c>
      <c r="G193">
        <f>SUMIFS(Ventes!G:G,Ventes!B:B,A193)</f>
        <v>6470</v>
      </c>
    </row>
    <row r="194" spans="1:7" s="2" customFormat="1" x14ac:dyDescent="0.2">
      <c r="A194" s="2" t="s">
        <v>267</v>
      </c>
      <c r="B194" s="2" t="str">
        <f>VLOOKUP(A194,Articles!A:B,2,FALSE)</f>
        <v>MINIZEO ROBE SALOPETTE</v>
      </c>
      <c r="C194" s="2">
        <f>VLOOKUP(A194,Articles!A:D,4,FALSE)</f>
        <v>4</v>
      </c>
      <c r="D194" s="2">
        <f>SUMIFS(Ventes!C:C,Ventes!B:B,A194)</f>
        <v>4</v>
      </c>
      <c r="E194" s="2">
        <f t="shared" si="2"/>
        <v>0</v>
      </c>
      <c r="F194" s="2">
        <f>SUMIFS(Ventes!D:D,Ventes!B:B,A194)</f>
        <v>27000</v>
      </c>
      <c r="G194" s="2">
        <f>SUMIFS(Ventes!G:G,Ventes!B:B,A194)</f>
        <v>17968</v>
      </c>
    </row>
    <row r="195" spans="1:7" x14ac:dyDescent="0.2">
      <c r="A195" t="s">
        <v>189</v>
      </c>
      <c r="B195" t="str">
        <f>VLOOKUP(A195,Articles!A:B,2,FALSE)</f>
        <v>BELLA CHAUSSETTE BALLERINE</v>
      </c>
      <c r="C195">
        <f>VLOOKUP(A195,Articles!A:D,4,FALSE)</f>
        <v>60</v>
      </c>
      <c r="D195" s="3">
        <f>SUMIFS(Ventes!C:C,Ventes!B:B,A195)</f>
        <v>53</v>
      </c>
      <c r="E195">
        <f t="shared" si="2"/>
        <v>7</v>
      </c>
      <c r="F195" s="3">
        <f>SUMIFS(Ventes!D:D,Ventes!B:B,A195)</f>
        <v>12000</v>
      </c>
      <c r="G195">
        <f>SUMIFS(Ventes!G:G,Ventes!B:B,A195)</f>
        <v>28973.510000000002</v>
      </c>
    </row>
    <row r="196" spans="1:7" x14ac:dyDescent="0.2">
      <c r="A196" t="s">
        <v>206</v>
      </c>
      <c r="B196" t="str">
        <f>VLOOKUP(A196,Articles!A:B,2,FALSE)</f>
        <v xml:space="preserve">DAMLA 24767 ENS LIN BLANC CULOTTE BLEU NUIT </v>
      </c>
      <c r="C196">
        <f>VLOOKUP(A196,Articles!A:D,4,FALSE)</f>
        <v>1</v>
      </c>
      <c r="D196" s="3">
        <f>SUMIFS(Ventes!C:C,Ventes!B:B,A196)</f>
        <v>1</v>
      </c>
      <c r="E196">
        <f t="shared" si="2"/>
        <v>0</v>
      </c>
      <c r="F196" s="3">
        <f>SUMIFS(Ventes!D:D,Ventes!B:B,A196)</f>
        <v>7000</v>
      </c>
      <c r="G196">
        <f>SUMIFS(Ventes!G:G,Ventes!B:B,A196)</f>
        <v>3000</v>
      </c>
    </row>
    <row r="197" spans="1:7" x14ac:dyDescent="0.2">
      <c r="A197" t="s">
        <v>227</v>
      </c>
      <c r="B197" t="str">
        <f>VLOOKUP(A197,Articles!A:B,2,FALSE)</f>
        <v>KIDEX ROBE CHAPEAU PAILLE</v>
      </c>
      <c r="C197">
        <f>VLOOKUP(A197,Articles!A:D,4,FALSE)</f>
        <v>16</v>
      </c>
      <c r="D197" s="3">
        <f>SUMIFS(Ventes!C:C,Ventes!B:B,A197)</f>
        <v>15</v>
      </c>
      <c r="E197">
        <f t="shared" ref="E197:E216" si="3">C197-D197</f>
        <v>1</v>
      </c>
      <c r="F197" s="3">
        <f>SUMIFS(Ventes!D:D,Ventes!B:B,A197)</f>
        <v>73500</v>
      </c>
      <c r="G197">
        <f>SUMIFS(Ventes!G:G,Ventes!B:B,A197)</f>
        <v>45040</v>
      </c>
    </row>
    <row r="198" spans="1:7" s="2" customFormat="1" x14ac:dyDescent="0.2">
      <c r="A198" s="2" t="s">
        <v>310</v>
      </c>
      <c r="B198" s="2" t="str">
        <f>VLOOKUP(A198,Articles!A:B,2,FALSE)</f>
        <v>NEHAD ENS 02P CULOTTE CARRELE</v>
      </c>
      <c r="C198" s="2">
        <f>VLOOKUP(A198,Articles!A:D,4,FALSE)</f>
        <v>3</v>
      </c>
      <c r="D198" s="2">
        <f>SUMIFS(Ventes!C:C,Ventes!B:B,A198)</f>
        <v>3</v>
      </c>
      <c r="E198" s="2">
        <f t="shared" si="3"/>
        <v>0</v>
      </c>
      <c r="F198" s="2">
        <f>SUMIFS(Ventes!D:D,Ventes!B:B,A198)</f>
        <v>19500</v>
      </c>
      <c r="G198" s="2">
        <f>SUMIFS(Ventes!G:G,Ventes!B:B,A198)</f>
        <v>9630</v>
      </c>
    </row>
    <row r="199" spans="1:7" x14ac:dyDescent="0.2">
      <c r="A199" t="s">
        <v>277</v>
      </c>
      <c r="B199" t="str">
        <f>VLOOKUP(A199,Articles!A:B,2,FALSE)</f>
        <v>MURAT ENS 02P GARCON PAN  HAUT ORANGE</v>
      </c>
      <c r="C199">
        <f>VLOOKUP(A199,Articles!A:D,4,FALSE)</f>
        <v>4</v>
      </c>
      <c r="D199" s="3">
        <f>SUMIFS(Ventes!C:C,Ventes!B:B,A199)</f>
        <v>3</v>
      </c>
      <c r="E199">
        <f t="shared" si="3"/>
        <v>1</v>
      </c>
      <c r="F199" s="3">
        <f>SUMIFS(Ventes!D:D,Ventes!B:B,A199)</f>
        <v>17500</v>
      </c>
      <c r="G199">
        <f>SUMIFS(Ventes!G:G,Ventes!B:B,A199)</f>
        <v>9205</v>
      </c>
    </row>
    <row r="200" spans="1:7" s="2" customFormat="1" x14ac:dyDescent="0.2">
      <c r="A200" s="2" t="s">
        <v>192</v>
      </c>
      <c r="B200" s="2" t="str">
        <f>VLOOKUP(A200,Articles!A:B,2,FALSE)</f>
        <v>CARNAVAL ENS 02P JAUNE MOURTADE FILLE</v>
      </c>
      <c r="C200" s="2">
        <f>VLOOKUP(A200,Articles!A:D,4,FALSE)</f>
        <v>3</v>
      </c>
      <c r="D200" s="2">
        <f>SUMIFS(Ventes!C:C,Ventes!B:B,A200)</f>
        <v>3</v>
      </c>
      <c r="E200" s="2">
        <f t="shared" si="3"/>
        <v>0</v>
      </c>
      <c r="F200" s="2">
        <f>SUMIFS(Ventes!D:D,Ventes!B:B,A200)</f>
        <v>14000</v>
      </c>
      <c r="G200" s="2">
        <f>SUMIFS(Ventes!G:G,Ventes!B:B,A200)</f>
        <v>10626</v>
      </c>
    </row>
    <row r="201" spans="1:7" x14ac:dyDescent="0.2">
      <c r="A201" t="s">
        <v>288</v>
      </c>
      <c r="B201" t="str">
        <f>VLOOKUP(A201,Articles!A:B,2,FALSE)</f>
        <v>MURAT ROBE CHAPEAU PAILLE</v>
      </c>
      <c r="C201">
        <f>VLOOKUP(A201,Articles!A:D,4,FALSE)</f>
        <v>4</v>
      </c>
      <c r="D201" s="3">
        <f>SUMIFS(Ventes!C:C,Ventes!B:B,A201)</f>
        <v>1</v>
      </c>
      <c r="E201">
        <f t="shared" si="3"/>
        <v>3</v>
      </c>
      <c r="F201" s="3">
        <f>SUMIFS(Ventes!D:D,Ventes!B:B,A201)</f>
        <v>4000</v>
      </c>
      <c r="G201">
        <f>SUMIFS(Ventes!G:G,Ventes!B:B,A201)</f>
        <v>2250</v>
      </c>
    </row>
    <row r="202" spans="1:7" x14ac:dyDescent="0.2">
      <c r="A202" s="3" t="s">
        <v>186</v>
      </c>
      <c r="B202" t="str">
        <f>VLOOKUP(A202,Articles!A:B,2,FALSE)</f>
        <v>BELLA BANDEAUX</v>
      </c>
      <c r="C202">
        <f>VLOOKUP(A202,Articles!A:D,4,FALSE)</f>
        <v>85</v>
      </c>
      <c r="D202" s="3">
        <f>SUMIFS(Ventes!C:C,Ventes!B:B,A202)</f>
        <v>60</v>
      </c>
      <c r="E202">
        <f t="shared" si="3"/>
        <v>25</v>
      </c>
      <c r="F202" s="3">
        <f>SUMIFS(Ventes!D:D,Ventes!B:B,A202)</f>
        <v>20500</v>
      </c>
      <c r="G202">
        <f>SUMIFS(Ventes!G:G,Ventes!B:B,A202)</f>
        <v>43000</v>
      </c>
    </row>
    <row r="203" spans="1:7" x14ac:dyDescent="0.2">
      <c r="A203" s="3" t="s">
        <v>235</v>
      </c>
      <c r="B203" t="str">
        <f>VLOOKUP(A203,Articles!A:B,2,FALSE)</f>
        <v>MAIBELLA ENS JEAN 02P</v>
      </c>
      <c r="C203">
        <f>VLOOKUP(A203,Articles!A:D,4,FALSE)</f>
        <v>1</v>
      </c>
      <c r="D203" s="3">
        <f>SUMIFS(Ventes!C:C,Ventes!B:B,A203)</f>
        <v>1</v>
      </c>
      <c r="E203">
        <f t="shared" si="3"/>
        <v>0</v>
      </c>
      <c r="F203" s="3">
        <f>SUMIFS(Ventes!D:D,Ventes!B:B,A203)</f>
        <v>7500</v>
      </c>
      <c r="G203">
        <f>SUMIFS(Ventes!G:G,Ventes!B:B,A203)</f>
        <v>3750</v>
      </c>
    </row>
    <row r="204" spans="1:7" x14ac:dyDescent="0.2">
      <c r="A204" s="3" t="s">
        <v>272</v>
      </c>
      <c r="B204" t="str">
        <f>VLOOKUP(A204,Articles!A:B,2,FALSE)</f>
        <v>MURAT BABY SALOPETTE GRISE</v>
      </c>
      <c r="C204">
        <f>VLOOKUP(A204,Articles!A:D,4,FALSE)</f>
        <v>2</v>
      </c>
      <c r="D204" s="3">
        <f>SUMIFS(Ventes!C:C,Ventes!B:B,A204)</f>
        <v>1</v>
      </c>
      <c r="E204">
        <f t="shared" si="3"/>
        <v>1</v>
      </c>
      <c r="F204" s="3">
        <f>SUMIFS(Ventes!D:D,Ventes!B:B,A204)</f>
        <v>7000</v>
      </c>
      <c r="G204">
        <f>SUMIFS(Ventes!G:G,Ventes!B:B,A204)</f>
        <v>3500</v>
      </c>
    </row>
    <row r="205" spans="1:7" x14ac:dyDescent="0.2">
      <c r="A205" s="3" t="s">
        <v>322</v>
      </c>
      <c r="B205" t="str">
        <f>VLOOKUP(A205,Articles!A:B,2,FALSE)</f>
        <v>TRIO ENS 02P CULOTTE 2-6</v>
      </c>
      <c r="C205">
        <f>VLOOKUP(A205,Articles!A:D,4,FALSE)</f>
        <v>4</v>
      </c>
      <c r="D205" s="3">
        <f>SUMIFS(Ventes!C:C,Ventes!B:B,A205)</f>
        <v>1</v>
      </c>
      <c r="E205">
        <f t="shared" si="3"/>
        <v>3</v>
      </c>
      <c r="F205" s="3">
        <f>SUMIFS(Ventes!D:D,Ventes!B:B,A205)</f>
        <v>11500</v>
      </c>
      <c r="G205">
        <f>SUMIFS(Ventes!G:G,Ventes!B:B,A205)</f>
        <v>6040</v>
      </c>
    </row>
    <row r="206" spans="1:7" x14ac:dyDescent="0.2">
      <c r="A206" s="3" t="s">
        <v>177</v>
      </c>
      <c r="B206" t="str">
        <f>VLOOKUP(A206,Articles!A:B,2,FALSE)</f>
        <v>BABYGO ENS JOGGING VERT 02P</v>
      </c>
      <c r="C206">
        <f>VLOOKUP(A206,Articles!A:D,4,FALSE)</f>
        <v>2</v>
      </c>
      <c r="D206" s="3">
        <f>SUMIFS(Ventes!C:C,Ventes!B:B,A206)</f>
        <v>1</v>
      </c>
      <c r="E206">
        <f t="shared" si="3"/>
        <v>1</v>
      </c>
      <c r="F206" s="3">
        <f>SUMIFS(Ventes!D:D,Ventes!B:B,A206)</f>
        <v>6500</v>
      </c>
      <c r="G206">
        <f>SUMIFS(Ventes!G:G,Ventes!B:B,A206)</f>
        <v>3250</v>
      </c>
    </row>
    <row r="207" spans="1:7" x14ac:dyDescent="0.2">
      <c r="A207" s="3" t="s">
        <v>304</v>
      </c>
      <c r="B207" t="str">
        <f>VLOOKUP(A207,Articles!A:B,2,FALSE)</f>
        <v>NAY BARBO GT LM</v>
      </c>
      <c r="C207">
        <f>VLOOKUP(A207,Articles!A:D,4,FALSE)</f>
        <v>33</v>
      </c>
      <c r="D207" s="3">
        <f>SUMIFS(Ventes!C:C,Ventes!B:B,A207)</f>
        <v>4</v>
      </c>
      <c r="E207">
        <f t="shared" si="3"/>
        <v>29</v>
      </c>
      <c r="F207" s="3">
        <f>SUMIFS(Ventes!D:D,Ventes!B:B,A207)</f>
        <v>2000</v>
      </c>
      <c r="G207">
        <f>SUMIFS(Ventes!G:G,Ventes!B:B,A207)</f>
        <v>3000</v>
      </c>
    </row>
    <row r="208" spans="1:7" x14ac:dyDescent="0.2">
      <c r="A208" s="3" t="s">
        <v>331</v>
      </c>
      <c r="B208" t="str">
        <f>VLOOKUP(A208,Articles!A:B,2,FALSE)</f>
        <v>TURQUIE CHAUSSETTES</v>
      </c>
      <c r="C208">
        <f>VLOOKUP(A208,Articles!A:D,4,FALSE)</f>
        <v>20</v>
      </c>
      <c r="D208" s="3">
        <f>SUMIFS(Ventes!C:C,Ventes!B:B,A208)</f>
        <v>15</v>
      </c>
      <c r="E208">
        <f t="shared" si="3"/>
        <v>5</v>
      </c>
      <c r="F208" s="3">
        <f>SUMIFS(Ventes!D:D,Ventes!B:B,A208)</f>
        <v>1002</v>
      </c>
      <c r="G208">
        <f>SUMIFS(Ventes!G:G,Ventes!B:B,A208)</f>
        <v>2505</v>
      </c>
    </row>
    <row r="209" spans="2:7" x14ac:dyDescent="0.2">
      <c r="B209" t="e">
        <f>VLOOKUP(A209,Articles!A:B,2,FALSE)</f>
        <v>#N/A</v>
      </c>
      <c r="C209" t="e">
        <f>VLOOKUP(A209,Articles!A:D,4,FALSE)</f>
        <v>#N/A</v>
      </c>
      <c r="D209" s="3">
        <f>SUMIFS(Ventes!C:C,Ventes!B:B,A209)</f>
        <v>0</v>
      </c>
      <c r="E209" t="e">
        <f t="shared" si="3"/>
        <v>#N/A</v>
      </c>
      <c r="F209" s="3">
        <f>SUMIFS(Ventes!D:D,Ventes!B:B,A209)</f>
        <v>0</v>
      </c>
      <c r="G209">
        <f>SUMIFS(Ventes!G:G,Ventes!B:B,A209)</f>
        <v>0</v>
      </c>
    </row>
    <row r="210" spans="2:7" x14ac:dyDescent="0.2">
      <c r="B210" t="e">
        <f>VLOOKUP(A210,Articles!A:B,2,FALSE)</f>
        <v>#N/A</v>
      </c>
      <c r="C210" t="e">
        <f>VLOOKUP(A210,Articles!A:D,4,FALSE)</f>
        <v>#N/A</v>
      </c>
      <c r="D210" s="3">
        <f>SUMIFS(Ventes!C:C,Ventes!B:B,A210)</f>
        <v>0</v>
      </c>
      <c r="E210" t="e">
        <f t="shared" si="3"/>
        <v>#N/A</v>
      </c>
      <c r="F210" s="3">
        <f>SUMIFS(Ventes!D:D,Ventes!B:B,A210)</f>
        <v>0</v>
      </c>
      <c r="G210">
        <f>SUMIFS(Ventes!G:G,Ventes!B:B,A210)</f>
        <v>0</v>
      </c>
    </row>
    <row r="211" spans="2:7" x14ac:dyDescent="0.2">
      <c r="B211" t="e">
        <f>VLOOKUP(A211,Articles!A:B,2,FALSE)</f>
        <v>#N/A</v>
      </c>
      <c r="C211" t="e">
        <f>VLOOKUP(A211,Articles!A:D,4,FALSE)</f>
        <v>#N/A</v>
      </c>
      <c r="D211" s="3">
        <f>SUMIFS(Ventes!C:C,Ventes!B:B,A211)</f>
        <v>0</v>
      </c>
      <c r="E211" t="e">
        <f t="shared" si="3"/>
        <v>#N/A</v>
      </c>
      <c r="F211" s="3">
        <f>SUMIFS(Ventes!D:D,Ventes!B:B,A211)</f>
        <v>0</v>
      </c>
      <c r="G211">
        <f>SUMIFS(Ventes!G:G,Ventes!B:B,A211)</f>
        <v>0</v>
      </c>
    </row>
    <row r="212" spans="2:7" x14ac:dyDescent="0.2">
      <c r="B212" t="e">
        <f>VLOOKUP(A212,Articles!A:B,2,FALSE)</f>
        <v>#N/A</v>
      </c>
      <c r="C212" t="e">
        <f>VLOOKUP(A212,Articles!A:D,4,FALSE)</f>
        <v>#N/A</v>
      </c>
      <c r="D212" s="3">
        <f>SUMIFS(Ventes!C:C,Ventes!B:B,A212)</f>
        <v>0</v>
      </c>
      <c r="E212" t="e">
        <f t="shared" si="3"/>
        <v>#N/A</v>
      </c>
      <c r="F212" s="3">
        <f>SUMIFS(Ventes!D:D,Ventes!B:B,A212)</f>
        <v>0</v>
      </c>
      <c r="G212">
        <f>SUMIFS(Ventes!G:G,Ventes!B:B,A212)</f>
        <v>0</v>
      </c>
    </row>
    <row r="213" spans="2:7" x14ac:dyDescent="0.2">
      <c r="B213" t="e">
        <f>VLOOKUP(A213,Articles!A:B,2,FALSE)</f>
        <v>#N/A</v>
      </c>
      <c r="C213" t="e">
        <f>VLOOKUP(A213,Articles!A:D,4,FALSE)</f>
        <v>#N/A</v>
      </c>
      <c r="D213" s="3">
        <f>SUMIFS(Ventes!C:C,Ventes!B:B,A213)</f>
        <v>0</v>
      </c>
      <c r="E213" t="e">
        <f t="shared" si="3"/>
        <v>#N/A</v>
      </c>
      <c r="F213" s="3">
        <f>SUMIFS(Ventes!D:D,Ventes!B:B,A213)</f>
        <v>0</v>
      </c>
      <c r="G213">
        <f>SUMIFS(Ventes!G:G,Ventes!B:B,A213)</f>
        <v>0</v>
      </c>
    </row>
    <row r="214" spans="2:7" x14ac:dyDescent="0.2">
      <c r="B214" t="e">
        <f>VLOOKUP(A214,Articles!A:B,2,FALSE)</f>
        <v>#N/A</v>
      </c>
      <c r="C214" t="e">
        <f>VLOOKUP(A214,Articles!A:D,4,FALSE)</f>
        <v>#N/A</v>
      </c>
      <c r="D214" s="3">
        <f>SUMIFS(Ventes!C:C,Ventes!B:B,A214)</f>
        <v>0</v>
      </c>
      <c r="E214" t="e">
        <f t="shared" si="3"/>
        <v>#N/A</v>
      </c>
      <c r="F214" s="3">
        <f>SUMIFS(Ventes!D:D,Ventes!B:B,A214)</f>
        <v>0</v>
      </c>
      <c r="G214">
        <f>SUMIFS(Ventes!G:G,Ventes!B:B,A214)</f>
        <v>0</v>
      </c>
    </row>
    <row r="215" spans="2:7" x14ac:dyDescent="0.2">
      <c r="B215" t="e">
        <f>VLOOKUP(A215,Articles!A:B,2,FALSE)</f>
        <v>#N/A</v>
      </c>
      <c r="C215" t="e">
        <f>VLOOKUP(A215,Articles!A:D,4,FALSE)</f>
        <v>#N/A</v>
      </c>
      <c r="D215" s="3">
        <f>SUMIFS(Ventes!C:C,Ventes!B:B,A215)</f>
        <v>0</v>
      </c>
      <c r="E215" t="e">
        <f t="shared" si="3"/>
        <v>#N/A</v>
      </c>
      <c r="F215" s="3">
        <f>SUMIFS(Ventes!D:D,Ventes!B:B,A215)</f>
        <v>0</v>
      </c>
      <c r="G215">
        <f>SUMIFS(Ventes!G:G,Ventes!B:B,A215)</f>
        <v>0</v>
      </c>
    </row>
    <row r="216" spans="2:7" x14ac:dyDescent="0.2">
      <c r="B216" t="e">
        <f>VLOOKUP(A216,Articles!A:B,2,FALSE)</f>
        <v>#N/A</v>
      </c>
      <c r="C216" t="e">
        <f>VLOOKUP(A216,Articles!A:D,4,FALSE)</f>
        <v>#N/A</v>
      </c>
      <c r="D216" s="3">
        <f>SUMIFS(Ventes!C:C,Ventes!B:B,A216)</f>
        <v>0</v>
      </c>
      <c r="E216" t="e">
        <f t="shared" si="3"/>
        <v>#N/A</v>
      </c>
      <c r="F216" s="3">
        <f>SUMIFS(Ventes!D:D,Ventes!B:B,A216)</f>
        <v>0</v>
      </c>
      <c r="G216">
        <f>SUMIFS(Ventes!G:G,Ventes!B:B,A216)</f>
        <v>0</v>
      </c>
    </row>
  </sheetData>
  <pageMargins left="0.75" right="0.75" top="1" bottom="1" header="0.5" footer="0.5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Articles</vt:lpstr>
      <vt:lpstr>Ventes</vt:lpstr>
      <vt:lpstr>Résumé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2025-04-14T08:46:20Z</dcterms:created>
  <dcterms:modified xsi:type="dcterms:W3CDTF">2025-05-05T14:20:49Z</dcterms:modified>
</cp:coreProperties>
</file>